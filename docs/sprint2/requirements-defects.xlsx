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21600" windowHeight="11385" tabRatio="500" firstSheet="2" activeTab="4" autoFilterDateGrouping="1"/>
  </bookViews>
  <sheets>
    <sheet xmlns:r="http://schemas.openxmlformats.org/officeDocument/2006/relationships" name="Реєстр" sheetId="1" state="visible" r:id="rId1"/>
    <sheet xmlns:r="http://schemas.openxmlformats.org/officeDocument/2006/relationships" name="Розподіл розділів" sheetId="2" state="visible" r:id="rId2"/>
    <sheet xmlns:r="http://schemas.openxmlformats.org/officeDocument/2006/relationships" name="Спірні" sheetId="3" state="visible" r:id="rId3"/>
    <sheet xmlns:r="http://schemas.openxmlformats.org/officeDocument/2006/relationships" name="Зведення" sheetId="4" state="visible" r:id="rId4"/>
    <sheet xmlns:r="http://schemas.openxmlformats.org/officeDocument/2006/relationships" name="Рецензія СМ" sheetId="5" state="visible" r:id="rId5"/>
  </sheets>
  <definedNames>
    <definedName name="_xlnm._FilterDatabase" localSheetId="0" hidden="1">'Реєстр'!$A$3:$G$32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i val="1"/>
      <sz val="9"/>
    </font>
    <font>
      <name val="Arial"/>
      <charset val="1"/>
      <b val="1"/>
      <sz val="10"/>
    </font>
    <font>
      <name val="Arial"/>
      <charset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22" customWidth="1" min="2" max="2"/>
    <col width="18" customWidth="1" min="3" max="3"/>
    <col width="60" customWidth="1" min="4" max="5"/>
    <col width="26" customWidth="1" min="6" max="6"/>
    <col width="20" customWidth="1" min="7" max="7"/>
  </cols>
  <sheetData>
    <row r="1" ht="15.75" customHeight="1">
      <c r="A1" s="1" t="inlineStr">
        <is>
          <t>Реєстр дефектів вимог - «СтейНау», SRS 1.0 (SN-SRS-01)</t>
        </is>
      </c>
    </row>
    <row r="2">
      <c r="A2" s="2" t="inlineStr">
        <is>
          <t>Критерії: однозначність, повнота, несуперечливість, простежуваність, здійсненність, тестопридатність. (очікує підтвердження замовника) - значення потребує підтвердження замовником. Зведено: Шкарупа М. (ТА); редакція 23.10.2026 - з урахуванням рішень АО («Спірні»), рецензії СМ і audit2.md.</t>
        </is>
      </c>
    </row>
    <row r="3">
      <c r="A3" s="3" t="inlineStr">
        <is>
          <t>№</t>
        </is>
      </c>
      <c r="B3" s="3" t="inlineStr">
        <is>
          <t>ID вимоги</t>
        </is>
      </c>
      <c r="C3" s="3" t="inlineStr">
        <is>
          <t>Критерій</t>
        </is>
      </c>
      <c r="D3" s="3" t="inlineStr">
        <is>
          <t>Опис дефекту</t>
        </is>
      </c>
      <c r="E3" s="3" t="inlineStr">
        <is>
          <t>Пропозиція виправлення</t>
        </is>
      </c>
      <c r="F3" s="3" t="inlineStr">
        <is>
          <t>Хто знайшов</t>
        </is>
      </c>
      <c r="G3" s="3" t="inlineStr">
        <is>
          <t>Статус</t>
        </is>
      </c>
    </row>
    <row r="4" ht="98.25" customHeight="1">
      <c r="A4" s="4" t="n">
        <v>1</v>
      </c>
      <c r="B4" s="4" t="inlineStr">
        <is>
          <t>F-40</t>
        </is>
      </c>
      <c r="C4" s="4" t="inlineStr">
        <is>
          <t>Тестопридатність</t>
        </is>
      </c>
      <c r="D4" s="4" t="inlineStr">
        <is>
          <t>Пункт чек-листа тестопридатності (п. 4.7). «Система швидко показує актуальний перелік вільних номерів, ніколи не показує зайнятий номер як вільний і працює без помилок за будь-яких умов» - маркери «швидко», «без помилок», «за будь-яких умов» не мають числа, умови чи способу спостереження: результат «пройдено / не пройдено» не визначений. Перекриття з F-30 («ніколи не показує зайнятий номер…») - окремий дефект №27.</t>
        </is>
      </c>
      <c r="E4" s="4" t="inlineStr">
        <is>
          <t>«Після натискання «Check Availability» перелік номерів (F-30) оновлюється не довше ніж за 3 с(очікує підтвердження замовника) (з'єднання від 10 Мбіт/с); якщо відповідь сервера не надійшла за 3 с, перелік не змінюється.» (очікує підтвердження замовника) - потребує підтвердження замовником.</t>
        </is>
      </c>
      <c r="F4" s="4" t="inlineStr">
        <is>
          <t>Шкарупа М., Чаплюк Д.</t>
        </is>
      </c>
      <c r="G4" s="4" t="inlineStr">
        <is>
          <t>прийнято (виправлення уточнено після рецензії АО)</t>
        </is>
      </c>
    </row>
    <row r="5" ht="71.25" customHeight="1">
      <c r="A5" s="4" t="n">
        <v>2</v>
      </c>
      <c r="B5" s="4" t="inlineStr">
        <is>
          <t>F-60</t>
        </is>
      </c>
      <c r="C5" s="4" t="inlineStr">
        <is>
          <t>Однозначність</t>
        </is>
      </c>
      <c r="D5" s="4" t="inlineStr">
        <is>
          <t>п. 1, 4 чек-листа однозначності. «…система перевіряє поля, зберігає бронювання на вибрані дати і надсилає гостю підтвердження» - не вказано, яким каналом і з якою інформацією; за розд. 2.3 demo лист на email не надсилає, тож вимога допускає кілька реалізацій і кілька очікуваних результатів.</t>
        </is>
      </c>
      <c r="E5" s="4" t="inlineStr">
        <is>
          <t>Замінити «надсилає гостю підтвердження» на «показує гостю на сторінці підтвердження з датами заїзду й виїзду (лист на email не надсилається)(очікує підтвердження замовника)».</t>
        </is>
      </c>
      <c r="F5" s="4" t="inlineStr">
        <is>
          <t>Шкарупа М., Чаплюк Д.</t>
        </is>
      </c>
      <c r="G5" s="4" t="inlineStr">
        <is>
          <t>прийнято</t>
        </is>
      </c>
    </row>
    <row r="6" ht="98.25" customHeight="1">
      <c r="A6" s="4" t="n">
        <v>3</v>
      </c>
      <c r="B6" s="4" t="inlineStr">
        <is>
          <t>F-60</t>
        </is>
      </c>
      <c r="C6" s="4" t="inlineStr">
        <is>
          <t>Повнота</t>
        </is>
      </c>
      <c r="D6" s="4" t="inlineStr">
        <is>
          <t>п. 4, 5 чек-листа повноти. «система перевіряє поля» - не перелічено допустимі значення кожного поля і не описано реакцію на некоректні дані та на зайнятий номер (BL-70 кидає IllegalStateException). Для негативних тест-кейсів немає очікуваного результату. Розд. 2.3 не розрізняє перевірки demo (F-60) і модуля (BL-20: «+380» і 9 цифр).</t>
        </is>
      </c>
      <c r="E6" s="4" t="inlineStr">
        <is>
          <t>«…система перевіряє поля: «Firstname» - 3-18 символів, «Lastname» - 3-30 символів, «Email» - адреса у форматі «локальна_частина@домен»(очікує підтвердження замовника), «Phone» - 11-21 символ(очікує підтвердження замовника); якщо дані некоректні або номер зайнятий, бронювання не зберігається, над кнопкою показується перелік помилок». До 2.3 додати: «Формат email і телефону за BL-20 перевіряється лише в модулі; на demo діють обмеження F-60». Значення полів звірити на demo при першому прогоні.</t>
        </is>
      </c>
      <c r="F6" s="4" t="inlineStr">
        <is>
          <t>Шкарупа М., Чаплюк Д.</t>
        </is>
      </c>
      <c r="G6" s="4" t="inlineStr">
        <is>
          <t>прийнято (виправлення уточнено після рецензії АО)</t>
        </is>
      </c>
    </row>
    <row r="7" ht="71.25" customHeight="1">
      <c r="A7" s="4" t="n">
        <v>4</v>
      </c>
      <c r="B7" s="4" t="inlineStr">
        <is>
          <t>F-80 (другий рядок)</t>
        </is>
      </c>
      <c r="C7" s="4" t="inlineStr">
        <is>
          <t>Простежуваність</t>
        </is>
      </c>
      <c r="D7" s="4" t="inlineStr">
        <is>
          <t>п. 1, 2 чек-листа простежуваності. У розд. 3 два рядки мають ID F-80: вхід («Адміністратор входить до адмінпанелі…») і вихід («Адміністратор завершує сеанс кнопкою «Logout»…»). Ідентифікатор неунікальний - посилання з тест-кейсів і матриці неоднозначне.</t>
        </is>
      </c>
      <c r="E7" s="4" t="inlineStr">
        <is>
          <t>Рядок про вихід перенумерувати на вільний проміжний F-85; F-80 залишити за входом; зафіксувати у журналі змін SRS 1.1.</t>
        </is>
      </c>
      <c r="F7" s="4" t="inlineStr">
        <is>
          <t>Шкарупа М., Чаплюк Д.</t>
        </is>
      </c>
      <c r="G7" s="4" t="inlineStr">
        <is>
          <t>прийнято</t>
        </is>
      </c>
    </row>
    <row r="8" ht="57.75" customHeight="1">
      <c r="A8" s="4" t="n">
        <v>5</v>
      </c>
      <c r="B8" s="4" t="inlineStr">
        <is>
          <t>F-100</t>
        </is>
      </c>
      <c r="C8" s="4" t="inlineStr">
        <is>
          <t>Однозначність</t>
        </is>
      </c>
      <c r="D8" s="4" t="inlineStr">
        <is>
          <t>п. 2, 4 чек-листа однозначності. «…з позначенням непрочитаних і може обробити повідомлення» - дія «обробити» не визначена (прочитати, відповісти, видалити?); різні тест-кейси очікуватимуть різне.</t>
        </is>
      </c>
      <c r="E8" s="4" t="inlineStr">
        <is>
          <t>«…з позначенням непрочитаних; може відкрити повідомлення для читання (після чого воно позначається прочитаним) і видалити його».</t>
        </is>
      </c>
      <c r="F8" s="4" t="inlineStr">
        <is>
          <t>Шкарупа М., Чаплюк Д.</t>
        </is>
      </c>
      <c r="G8" s="4" t="inlineStr">
        <is>
          <t>прийнято</t>
        </is>
      </c>
    </row>
    <row r="9" ht="71.25" customHeight="1">
      <c r="A9" s="4" t="n">
        <v>6</v>
      </c>
      <c r="B9" s="4" t="inlineStr">
        <is>
          <t>F-110 (BL-60)</t>
        </is>
      </c>
      <c r="C9" s="4" t="inlineStr">
        <is>
          <t>Несуперечливість</t>
        </is>
      </c>
      <c r="D9" s="4" t="inlineStr">
        <is>
          <t>п. 2 чек-листа несуперечливості (вимоги в різних розділах). F-110: безкоштовне скасування, «якщо до дати заїзду залишилось 5 або більше днів»; BL-60: «0,00, якщо до заїзду 7 і більше днів», 50 % - від 3 до 6. Для 5-6 днів F-110 дає 0 %, BL-60 - 50 %. Правило задано двічі з різними порогами.</t>
        </is>
      </c>
      <c r="E9" s="4" t="inlineStr">
        <is>
          <t>Залишити єдине джерело правила - BL-60 (7 днів(очікує підтвердження замовника)); F-110: «…звернувшись до адміністратора; плату за скасування визначає BL-60». (очікує підтвердження замовника) - потребує підтвердження замовником.</t>
        </is>
      </c>
      <c r="F9" s="4" t="inlineStr">
        <is>
          <t>Шкарупа М., Гетьман Є., Чаплюк Д.</t>
        </is>
      </c>
      <c r="G9" s="4" t="inlineStr">
        <is>
          <t>прийнято</t>
        </is>
      </c>
    </row>
    <row r="10" ht="98.25" customHeight="1">
      <c r="A10" s="4" t="n">
        <v>7</v>
      </c>
      <c r="B10" s="4" t="inlineStr">
        <is>
          <t>F-120</t>
        </is>
      </c>
      <c r="C10" s="4" t="inlineStr">
        <is>
          <t>Здійсненність</t>
        </is>
      </c>
      <c r="D10" s="4" t="inlineStr">
        <is>
          <t>п. 1 чек-листа здійсненності (чи існують дані). «…звіт заповнюваності номерів за будь-який період, включно з майбутніми періодами, на основі фактичних даних про заселення і виселення» - фактичних даних про майбутнє не існує; крім того, жодна вимога SRS не передбачає введення фактів заселення/виселення (розд. 1.2). Також «звіт заповнюваності» (F-120) і «звіт бронювань» (1.2) - різні назви одного звіту.</t>
        </is>
      </c>
      <c r="E10" s="4" t="inlineStr">
        <is>
          <t>«Адміністратор формує звіт бронювань (заповнюваності номерів) за обраний період на основі зареєстрованих бронювань, що перетинають цей період; для майбутнього періоду звіт показує заплановану заповнюваність».</t>
        </is>
      </c>
      <c r="F10" s="4" t="inlineStr">
        <is>
          <t>Шкарупа М., Чаплюк Д.</t>
        </is>
      </c>
      <c r="G10" s="4" t="inlineStr">
        <is>
          <t>прийнято</t>
        </is>
      </c>
    </row>
    <row r="11" ht="57.75" customHeight="1">
      <c r="A11" s="4" t="n">
        <v>8</v>
      </c>
      <c r="B11" s="4" t="inlineStr">
        <is>
          <t>F-130 (S-20)</t>
        </is>
      </c>
      <c r="C11" s="4" t="inlineStr">
        <is>
          <t>Несуперечливість</t>
        </is>
      </c>
      <c r="D11" s="4" t="inlineStr">
        <is>
          <t>п. 2 чек-листа несуперечливості. F-130: сесія зберігається «до натискання «Logout» або протягом 24 годин»; S-20: сесія завершується «через 30 хвилин неактивності». Адміністратор, неактивний 1 год, за F-130 лишається у системі, за S-20 - ні.</t>
        </is>
      </c>
      <c r="E11" s="4" t="inlineStr">
        <is>
          <t>F-130: «…сесія триває до «Logout», до 30 хвилин неактивності(очікує підтвердження замовника) або до 24 годин від входу(очікує підтвердження замовника) - що настане раніше». S-20: «…через 30 хвилин неактивності (у межах 24 годин за F-130)…». (очікує підтвердження замовника) - потребує підтвердження замовником.</t>
        </is>
      </c>
      <c r="F11" s="4" t="inlineStr">
        <is>
          <t>Шкарупа М., Чаплюк Д.</t>
        </is>
      </c>
      <c r="G11" s="4" t="inlineStr">
        <is>
          <t>прийнято</t>
        </is>
      </c>
    </row>
    <row r="12" ht="44.25" customHeight="1">
      <c r="A12" s="4" t="n">
        <v>9</v>
      </c>
      <c r="B12" s="4" t="inlineStr">
        <is>
          <t>GUI-20</t>
        </is>
      </c>
      <c r="C12" s="4" t="inlineStr">
        <is>
          <t>Однозначність</t>
        </is>
      </c>
      <c r="D12" s="4" t="inlineStr">
        <is>
          <t>п. 2, 4 чек-листа однозначності. «…дд/мм/рррр або мм/дд/рррр залежно від налаштувань» - не сказано, яких налаштувань і коли який формат; тест-кейс має два очікуваних результати.</t>
        </is>
      </c>
      <c r="E12" s="4" t="inlineStr">
        <is>
          <t>«Формат дати визначається мовою (locale) браузера: мм/дд/рррр для en-US, дд/мм/рррр для решти(очікує підтвердження замовника); натискання на поле відкриває календар». (очікує підтвердження замовника) - потребує підтвердження замовником.</t>
        </is>
      </c>
      <c r="F12" s="4" t="inlineStr">
        <is>
          <t>Шкарупа М., Гетьман Є.</t>
        </is>
      </c>
      <c r="G12" s="4" t="inlineStr">
        <is>
          <t>прийнято</t>
        </is>
      </c>
    </row>
    <row r="13" ht="44.25" customHeight="1">
      <c r="A13" s="4" t="n">
        <v>10</v>
      </c>
      <c r="B13" s="4" t="inlineStr">
        <is>
          <t>GUI-40</t>
        </is>
      </c>
      <c r="C13" s="4" t="inlineStr">
        <is>
          <t>Повнота</t>
        </is>
      </c>
      <c r="D13" s="4" t="inlineStr">
        <is>
          <t>п. 1, 4 чек-листа повноти. Форма бронювання містить placeholder «Firstname», «Lastname», «Email», але F-60 вимагає ще «Phone» - елемент форми не описано.</t>
        </is>
      </c>
      <c r="E13" s="4" t="inlineStr">
        <is>
          <t>«…містить текстові поля з підказками (placeholder) «Firstname», «Lastname», «Email», «Phone» та кнопки «Reserve Now» і «Cancel»…».</t>
        </is>
      </c>
      <c r="F13" s="4" t="inlineStr">
        <is>
          <t>Шкарупа М., Гетьман Є.</t>
        </is>
      </c>
      <c r="G13" s="4" t="inlineStr">
        <is>
          <t>прийнято</t>
        </is>
      </c>
    </row>
    <row r="14" ht="44.25" customHeight="1">
      <c r="A14" s="4" t="n">
        <v>11</v>
      </c>
      <c r="B14" s="4" t="inlineStr">
        <is>
          <t>GUI-50 (F-50)</t>
        </is>
      </c>
      <c r="C14" s="4" t="inlineStr">
        <is>
          <t>Несуперечливість</t>
        </is>
      </c>
      <c r="D14" s="4" t="inlineStr">
        <is>
          <t>п. 2 чек-листа несуперечливості. GUI-50: «Service fee» £10; F-50: «Service fee» £15 і «Total» = добуток + 25 + 15. Дві суми для одного поля; очікуване значення Total неможливо визначити.</t>
        </is>
      </c>
      <c r="E14" s="4" t="inlineStr">
        <is>
          <t>GUI-50: «Service fee» £15 (як у F-50; відповідає значенню на demo, звірити)(очікує підтвердження замовника). (очікує підтвердження замовника) - потребує підтвердження замовником.</t>
        </is>
      </c>
      <c r="F14" s="4" t="inlineStr">
        <is>
          <t>Шкарупа М., Гетьман Є., Чаплюк Д.</t>
        </is>
      </c>
      <c r="G14" s="4" t="inlineStr">
        <is>
          <t>прийнято</t>
        </is>
      </c>
    </row>
    <row r="15" ht="44.25" customHeight="1">
      <c r="A15" s="4" t="n">
        <v>12</v>
      </c>
      <c r="B15" s="4" t="inlineStr">
        <is>
          <t>GUI-60</t>
        </is>
      </c>
      <c r="C15" s="4" t="inlineStr">
        <is>
          <t>Тестопридатність</t>
        </is>
      </c>
      <c r="D15" s="4" t="inlineStr">
        <is>
          <t>Тестопридатність (п. 4.7). «…мають бути зрозумілими, доброзичливими і не дратувати гостя» - маркери без числа, умови чи способу спостереження; очікуваного результату не існує.</t>
        </is>
      </c>
      <c r="E15" s="4" t="inlineStr">
        <is>
          <t>«Повідомлення про помилку називає поле, що не пройшло перевірку, і причину; не містить технічних кодів і трасувань; довжина - не більше 100 символів(очікує підтвердження замовника)».</t>
        </is>
      </c>
      <c r="F15" s="4" t="inlineStr">
        <is>
          <t>Шкарупа М., Гетьман Є.</t>
        </is>
      </c>
      <c r="G15" s="4" t="inlineStr">
        <is>
          <t>прийнято</t>
        </is>
      </c>
    </row>
    <row r="16" ht="71.25" customHeight="1">
      <c r="A16" s="4" t="n">
        <v>13</v>
      </c>
      <c r="B16" s="4" t="inlineStr">
        <is>
          <t>GUI-80</t>
        </is>
      </c>
      <c r="C16" s="4" t="inlineStr">
        <is>
          <t>Несуперечливість</t>
        </is>
      </c>
      <c r="D16" s="4" t="inlineStr">
        <is>
          <t>п. 1 чек-листа несуперечливості (частини однієї вимоги). Кнопка «Reserve Now» «неактивна, доки не заповнено всі поля» і водночас «при натисканні… з порожніми полями система показує перелік помилок». Якщо кнопка неактивна, натиснути її з порожніми полями неможливо; F-60 теж допускає натискання.</t>
        </is>
      </c>
      <c r="E16" s="4" t="inlineStr">
        <is>
          <t>«Кнопка «Reserve Now» завжди активна; при натисканні з порожніми або некоректними полями система не зберігає бронювання і показує перелік помилок валідації над кнопкою».</t>
        </is>
      </c>
      <c r="F16" s="4" t="inlineStr">
        <is>
          <t>Шкарупа М., Гетьман Є.</t>
        </is>
      </c>
      <c r="G16" s="4" t="inlineStr">
        <is>
          <t>прийнято</t>
        </is>
      </c>
    </row>
    <row r="17" ht="57.75" customHeight="1">
      <c r="A17" s="4" t="n">
        <v>14</v>
      </c>
      <c r="B17" s="4" t="inlineStr">
        <is>
          <t>розд. 4, рядок 9, без ID</t>
        </is>
      </c>
      <c r="C17" s="4" t="inlineStr">
        <is>
          <t>Простежуваність</t>
        </is>
      </c>
      <c r="D17" s="4" t="inlineStr">
        <is>
          <t>п. 2 чек-листа простежуваності. Рядок «Форма «Send Us a Message» на головній сторінці містить поля «Name», «Email»…» (між GUI-80 і GUI-90) не має ідентифікатора - на нього неможливо послатися з тест-кейса.</t>
        </is>
      </c>
      <c r="E17" s="4" t="inlineStr">
        <is>
          <t>Присвоїти проміжний ID GUI-85 (між GUI-80 і GUI-90); текст не змінювати.</t>
        </is>
      </c>
      <c r="F17" s="4" t="inlineStr">
        <is>
          <t>Шкарупа М.</t>
        </is>
      </c>
      <c r="G17" s="4" t="inlineStr">
        <is>
          <t>прийнято</t>
        </is>
      </c>
    </row>
    <row r="18" ht="98.25" customHeight="1">
      <c r="A18" s="4" t="n">
        <v>15</v>
      </c>
      <c r="B18" s="4" t="inlineStr">
        <is>
          <t>GUI-90</t>
        </is>
      </c>
      <c r="C18" s="4" t="inlineStr">
        <is>
          <t>Здійсненність</t>
        </is>
      </c>
      <c r="D18" s="4" t="inlineStr">
        <is>
          <t>п. 1 чек-листа здійсненності (чи існує технологія). «…піксель-у-піксель однаково в усіх браузерах і на всіх пристроях, включно з кнопковими телефонами без браузера» - вебзастосунок не відображається на пристрої без браузера; піксельна ідентичність у різних рушіях недосяжна. Побічно - тестопридатність (критерій «пройдено» відсутній); головний критерій - здійсненність, бо виправлення прибирає саму нездійсненну вимогу.</t>
        </is>
      </c>
      <c r="E18" s="4" t="inlineStr">
        <is>
          <t>«Сторінки відображаються без накладання, обрізання і виходу елементів за межі екрана в поточних Chrome і Firefox (розд. 2.2) на ширині 1280 px і 375 px(очікує підтвердження замовника); горизонтального прокручування сторінки на 375 px немає». (очікує підтвердження замовника) - потребує підтвердження замовником.</t>
        </is>
      </c>
      <c r="F18" s="4" t="inlineStr">
        <is>
          <t>Шкарупа М., Гетьман Є.</t>
        </is>
      </c>
      <c r="G18" s="4" t="inlineStr">
        <is>
          <t>прийнято (виправлення уточнено після рецензії АО)</t>
        </is>
      </c>
    </row>
    <row r="19" ht="71.25" customHeight="1">
      <c r="A19" s="4" t="n">
        <v>16</v>
      </c>
      <c r="B19" s="4" t="inlineStr">
        <is>
          <t>BL-10</t>
        </is>
      </c>
      <c r="C19" s="4" t="inlineStr">
        <is>
          <t>Повнота</t>
        </is>
      </c>
      <c r="D19" s="4" t="inlineStr">
        <is>
          <t>п. 1, 4, 5 чек-листа повноти. Сигнатура validate(checkIn, checkOut, guests, capacity, today) має параметри guests і capacity, але в тексті не описано їхню перевірку; не названо код помилки для кількості гостей.</t>
        </is>
      </c>
      <c r="E19" s="4" t="inlineStr">
        <is>
          <t>Додати: «кількість гостей не менша за 1 і не більша за місткість capacity; інакше - код INVALID_GUESTS (назву коду звірити з BookingError у SN-BL-01)». У розд. 2.3 замінити «це правило» на «перевірка кількості гостей (BL-10)» - «це правило» посилається на правило про гостей, якого в SRS 1.0 немає.</t>
        </is>
      </c>
      <c r="F19" s="4" t="inlineStr">
        <is>
          <t>Гетьман Є., Бєлянцева А. (2.3)</t>
        </is>
      </c>
      <c r="G19" s="4" t="inlineStr">
        <is>
          <t>прийнято (виправлення уточнено після рецензії АО)</t>
        </is>
      </c>
    </row>
    <row r="20" ht="84.75" customHeight="1">
      <c r="A20" s="4" t="n">
        <v>17</v>
      </c>
      <c r="B20" s="4" t="inlineStr">
        <is>
          <t>BL-30</t>
        </is>
      </c>
      <c r="C20" s="4" t="inlineStr">
        <is>
          <t>Однозначність</t>
        </is>
      </c>
      <c r="D20" s="4" t="inlineStr">
        <is>
          <t>п. 2, 5 чек-листа однозначності (термін не визначений). «за ночі у вихідні дні» - у розд. 1.3 терміну немає: субота+неділя чи п'ятниця+субота? Легенда замовлення (каталог, 6.4, п. 2) говорить «ночі напередодні вихідних»; для заїзду 27.06.2026 (сб), виїзду 29.06, бази 100 у високому сезоні за BL-30 («вихідні дні» = сб+нд) сума 299,00, за легендою (пт+сб) - 279,50.</t>
        </is>
      </c>
      <c r="E20" s="4" t="inlineStr">
        <is>
          <t>Додати до 1.3 термін «Ніч вихідного дня»: ніч, що починається у п'ятницю або суботу (напередодні вихідних); BL-30: «за ночі вихідного дня (див. 1.3)…». Тлумачення за легендою; потребує підтвердження замовником(очікує підтвердження замовника). У BL-50 теж замінити «вихідної ночі» на «ночі вихідного дня (див. 1.3)» - інакше в документі два терміни для одного поняття.</t>
        </is>
      </c>
      <c r="F20" s="4" t="inlineStr">
        <is>
          <t>Гетьман Є., Шкарупа М.</t>
        </is>
      </c>
      <c r="G20" s="4" t="inlineStr">
        <is>
          <t>прийнято (виправлення уточнено після рецензії АО)</t>
        </is>
      </c>
    </row>
    <row r="21" ht="71.25" customHeight="1">
      <c r="A21" s="4" t="n">
        <v>18</v>
      </c>
      <c r="B21" s="4" t="inlineStr">
        <is>
          <t>BL-80</t>
        </is>
      </c>
      <c r="C21" s="4" t="inlineStr">
        <is>
          <t>Простежуваність</t>
        </is>
      </c>
      <c r="D21" s="4" t="inlineStr">
        <is>
          <t>п. 1, 5 чек-листа простежуваності. BL-80 («Скасування бронювання безкоштовне, якщо до заїзду залишилось сім і більше днів; від трьох до шести - половина») дублює BL-60 і F-110; крім того, не містить випадку «менше 3 днів» і має інший пріоритет (Medium проти High у BL-60). Одна правило під трьома ID.</t>
        </is>
      </c>
      <c r="E21" s="4" t="inlineStr">
        <is>
          <t>Вилучити BL-80 із записом у журналі змін (ID не перенумеровувати - лишається «дірка»); посилання замінити на BL-60.</t>
        </is>
      </c>
      <c r="F21" s="4" t="inlineStr">
        <is>
          <t>Гетьман Є., Шкарупа М.</t>
        </is>
      </c>
      <c r="G21" s="4" t="inlineStr">
        <is>
          <t>прийнято</t>
        </is>
      </c>
    </row>
    <row r="22" ht="84.75" customHeight="1">
      <c r="A22" s="4" t="n">
        <v>19</v>
      </c>
      <c r="B22" s="4" t="inlineStr">
        <is>
          <t>BL-70</t>
        </is>
      </c>
      <c r="C22" s="4" t="inlineStr">
        <is>
          <t>Повнота</t>
        </is>
      </c>
      <c r="D22" s="4" t="inlineStr">
        <is>
          <t>п. 5 чек-листа повноти (реакції на виняткові ситуації). Метод book «реєструє бронювання або кидає IllegalStateException, якщо номер зайнятий» - не описано поведінку при одночасних викликах для одного номера, хоча відділ якості створено після подвійних бронювань (легенда, розд. 6.1). Тест умов гонок (план, тип 15) не має очікуваного результату в SRS.</t>
        </is>
      </c>
      <c r="E22" s="4" t="inlineStr">
        <is>
          <t>Додати: «Метод book виконує перевірку наявності й реєстрацію атомарно: при одночасних викликах для одного номера і перетинних інтервалів рівно один виклик успішний, решта кидають IllegalStateException».</t>
        </is>
      </c>
      <c r="F22" s="4" t="inlineStr">
        <is>
          <t>Гетьман Є.</t>
        </is>
      </c>
      <c r="G22" s="4" t="inlineStr">
        <is>
          <t>прийнято</t>
        </is>
      </c>
    </row>
    <row r="23" ht="57.75" customHeight="1">
      <c r="A23" s="4" t="n">
        <v>20</v>
      </c>
      <c r="B23" s="4" t="inlineStr">
        <is>
          <t>P-10</t>
        </is>
      </c>
      <c r="C23" s="4" t="inlineStr">
        <is>
          <t>Здійсненність</t>
        </is>
      </c>
      <c r="D23" s="4" t="inlineStr">
        <is>
          <t>п. 1, 3 чек-листа здійсненності (залежність від систем, які продукт не контролює). «…повністю завантажується не довше ніж за 50 мс за будь-якого з'єднання, включно з мобільним 2G» - час залежить від каналу; на 2G передача сторінки займає секунди.</t>
        </is>
      </c>
      <c r="E23" s="4" t="inlineStr">
        <is>
          <t>«Сторінка зі списком номерів повністю завантажується не довше ніж за 3 с(очікує підтвердження замовника) на з'єднанні від 10 Мбіт/с». (очікує підтвердження замовника) - потребує підтвердження замовником.</t>
        </is>
      </c>
      <c r="F23" s="4" t="inlineStr">
        <is>
          <t>Шкарупа М. (при зведенні)*</t>
        </is>
      </c>
      <c r="G23" s="4" t="inlineStr">
        <is>
          <t>прийнято (виправлення уточнено після рецензії АО)</t>
        </is>
      </c>
    </row>
    <row r="24" ht="57.75" customHeight="1">
      <c r="A24" s="4" t="n">
        <v>21</v>
      </c>
      <c r="B24" s="4" t="inlineStr">
        <is>
          <t>P-20</t>
        </is>
      </c>
      <c r="C24" s="4" t="inlineStr">
        <is>
          <t>Тестопридатність</t>
        </is>
      </c>
      <c r="D24" s="4" t="inlineStr">
        <is>
          <t>Тестопридатність (п. 4.7). «Система витримує велике навантаження без деградації продуктивності» - не задано кількість користувачів, показник і межу «деградації».</t>
        </is>
      </c>
      <c r="E24" s="4" t="inlineStr">
        <is>
          <t>«Система витримує до 10 одночасних користувачів, що переглядають список номерів, без відповідей HTTP 5xx; 95-й перцентиль часу відповіді не перевищує 2 с(очікує підтвердження замовника)». (очікує підтвердження замовника) - потребує підтвердження замовником.</t>
        </is>
      </c>
      <c r="F24" s="4" t="inlineStr">
        <is>
          <t>Шкарупа М. (при зведенні)*</t>
        </is>
      </c>
      <c r="G24" s="4" t="inlineStr">
        <is>
          <t>прийнято</t>
        </is>
      </c>
    </row>
    <row r="25" ht="57.75" customHeight="1">
      <c r="A25" s="4" t="n">
        <v>22</v>
      </c>
      <c r="B25" s="4" t="inlineStr">
        <is>
          <t>S-10</t>
        </is>
      </c>
      <c r="C25" s="4" t="inlineStr">
        <is>
          <t>Здійсненність</t>
        </is>
      </c>
      <c r="D25" s="4" t="inlineStr">
        <is>
          <t>п. 1 чек-листа здійсненності (фізична недосяжність). «100 % захист від будь-яких кібератак, включно з невідомими на момент випуску» - гарантувати захист від невідомих атак неможливо. Побічно - тестопридатність; головний критерій - здійсненність.</t>
        </is>
      </c>
      <c r="E25" s="4" t="inlineStr">
        <is>
          <t>«Адмінпанель недоступна без входу (запит без входу повертає на сторінку входу); неправильний пароль доступу не надає (F-80); HTML-код і SQL-фрагменти, введені у поля форм, не виконуються». Перевірки ін'єкцій - лише на локальному резерві.</t>
        </is>
      </c>
      <c r="F25" s="4" t="inlineStr">
        <is>
          <t>Шкарупа М. (при зведенні)*</t>
        </is>
      </c>
      <c r="G25" s="4" t="inlineStr">
        <is>
          <t>прийнято</t>
        </is>
      </c>
    </row>
    <row r="26" ht="57.75" customHeight="1">
      <c r="A26" s="4" t="n">
        <v>23</v>
      </c>
      <c r="B26" s="4" t="inlineStr">
        <is>
          <t>U-10</t>
        </is>
      </c>
      <c r="C26" s="4" t="inlineStr">
        <is>
          <t>Тестопридатність</t>
        </is>
      </c>
      <c r="D26" s="4" t="inlineStr">
        <is>
          <t>Тестопридатність (п. 4.7). «Інтерфейс гостьової частини інтуїтивно зрозумілий» - «інтуїтивно» без критерію й способу перевірки.</t>
        </is>
      </c>
      <c r="E26" s="4" t="inlineStr">
        <is>
          <t>«Новий гість без інструктажу завершує бронювання номера Single на 2 ночі не довше ніж за 3 хв і не більше ніж з однією помилкою навігації; перевірка на 3 учасниках, незнайомих із demo; критерій - 2 з 3(очікує підтвердження замовника)».</t>
        </is>
      </c>
      <c r="F26" s="4" t="inlineStr">
        <is>
          <t>Шкарупа М. (при зведенні)*</t>
        </is>
      </c>
      <c r="G26" s="4" t="inlineStr">
        <is>
          <t>прийнято</t>
        </is>
      </c>
    </row>
    <row r="27" ht="71.25" customHeight="1">
      <c r="A27" s="4" t="n">
        <v>24</v>
      </c>
      <c r="B27" s="4" t="inlineStr">
        <is>
          <t>U-20</t>
        </is>
      </c>
      <c r="C27" s="4" t="inlineStr">
        <is>
          <t>Повнота</t>
        </is>
      </c>
      <c r="D27" s="4" t="inlineStr">
        <is>
          <t>п. 3 чек-листа повноти (посилання на неіснуючий об'єкт). «…за єдиною схемою розмітки, визначеною у вимозі GUI-120» - розд. 4 закінчується GUI-90; GUI-120 немає.</t>
        </is>
      </c>
      <c r="E27" s="4" t="inlineStr">
        <is>
          <t>«Усі форми гостьової частини (бронювання - GUI-40, контактна - GUI-85) оформлюються однаково: поля розташовані вертикально, кнопка дії - під полями, перелік помилок валідації - над кнопкою». (очікує підтвердження замовника) - потребує підтвердження замовником; розташування елементів звірити з demo.</t>
        </is>
      </c>
      <c r="F27" s="4" t="inlineStr">
        <is>
          <t>Гетьман Є., Шкарупа М., Чаплюк Д.</t>
        </is>
      </c>
      <c r="G27" s="4" t="inlineStr">
        <is>
          <t>прийнято (виправлення уточнено після рецензії АО)</t>
        </is>
      </c>
    </row>
    <row r="28" ht="57.75" customHeight="1">
      <c r="A28" s="4" t="n">
        <v>25</v>
      </c>
      <c r="B28" s="4" t="inlineStr">
        <is>
          <t>D-20</t>
        </is>
      </c>
      <c r="C28" s="4" t="inlineStr">
        <is>
          <t>Повнота</t>
        </is>
      </c>
      <c r="D28" s="4" t="inlineStr">
        <is>
          <t>п. 3 чек-листа повноти. «…відповідно до корпоративного стандарту SN-DOC-07 «Стандарт документації»» - документа немає серед посилань розд. 1.4.</t>
        </is>
      </c>
      <c r="E28" s="4" t="inlineStr">
        <is>
          <t>«Довідка адміністратора описує вхід і вихід та кожен розділ адмінпанелі (номери, повідомлення, звіт бронювань) із кроками виконання функцій F-80…F-120». (очікує підтвердження замовника) - потребує підтвердження замовником: хто готує довідку і де вона зберігається (Q-12).</t>
        </is>
      </c>
      <c r="F28" s="4" t="inlineStr">
        <is>
          <t>Шкарупа М. (при зведенні)*</t>
        </is>
      </c>
      <c r="G28" s="4" t="inlineStr">
        <is>
          <t>прийнято (виправлення уточнено після рецензії АО)</t>
        </is>
      </c>
    </row>
    <row r="29" ht="98.25" customHeight="1">
      <c r="A29" s="4" t="n">
        <v>26</v>
      </c>
      <c r="B29" s="4" t="inlineStr">
        <is>
          <t>P-10</t>
        </is>
      </c>
      <c r="C29" s="4" t="inlineStr">
        <is>
          <t>Однозначність</t>
        </is>
      </c>
      <c r="D29" s="4" t="inlineStr">
        <is>
          <t>п. 2, 4 чек-листа однозначності. «Сторінка зі списком номерів повністю завантажується…» - окремої сторінки зі списком номерів немає: за F-10/F-20 перелік - розділ «Our Rooms» головної сторінки; «повністю завантажується» не задає моменту вимірювання (перший байт, поява переліку, подія load) - кейс має кілька очікуваних результатів. Окреме виправлення від №20 (те змінює число й умову з'єднання).</t>
        </is>
      </c>
      <c r="E29" s="4" t="inlineStr">
        <is>
          <t>Замінити «Сторінка зі списком номерів повністю завантажується» на «Головна сторінка з розділом «Our Rooms» завантажується до події load у браузері» (число й умова - №20).</t>
        </is>
      </c>
      <c r="F29" s="4" t="inlineStr">
        <is>
          <t>Бєлянцева А. (DEF-БА-13)</t>
        </is>
      </c>
      <c r="G29" s="4" t="inlineStr">
        <is>
          <t>прийнято</t>
        </is>
      </c>
    </row>
    <row r="30" ht="71.25" customHeight="1">
      <c r="A30" s="4" t="n">
        <v>27</v>
      </c>
      <c r="B30" s="4" t="inlineStr">
        <is>
          <t>F-40 (F-30)</t>
        </is>
      </c>
      <c r="C30" s="4" t="inlineStr">
        <is>
          <t>Простежуваність</t>
        </is>
      </c>
      <c r="D30" s="4" t="inlineStr">
        <is>
          <t>п. 5 чек-листа простежуваності (вимоги не перекриваються). Після виправлення №1 F-40 містила фрагмент про відсутність зайнятого номера в переліку - він повторює F-30 («показуючи лише номери, вільні на вибраний інтервал»): один кейс доводиться прив'язувати до двох ID.</t>
        </is>
      </c>
      <c r="E30" s="4" t="inlineStr">
        <is>
          <t>У F-40 залишити лише вимогу до часу оновлення з посиланням «(F-30)»; фрагмент про зайнятий номер вилучити (вже внесено в текст виправлення №1).</t>
        </is>
      </c>
      <c r="F30" s="4" t="inlineStr">
        <is>
          <t>Бєлянцева А. (рецензія SRS 1.1, Р-2); Шкарупа М. (відмічено в описі №1)</t>
        </is>
      </c>
      <c r="G30" s="4" t="inlineStr">
        <is>
          <t>прийнято</t>
        </is>
      </c>
    </row>
    <row r="31" ht="125.25" customHeight="1">
      <c r="A31" s="4" t="n">
        <v>28</v>
      </c>
      <c r="B31" s="4" t="inlineStr">
        <is>
          <t>розд. 2.1 (роль «Менеджер»)</t>
        </is>
      </c>
      <c r="C31" s="4" t="inlineStr">
        <is>
          <t>Несуперечливість</t>
        </is>
      </c>
      <c r="D31" s="4" t="inlineStr">
        <is>
          <t>п. 2 чек-листа несуперечливості (вимоги в інших документах). 2.1: Менеджер «затверджує правила розділу 5; окремого інтерфейсу не має, користується адмінпанеллю з правами адміністратора», але жодна функція адмінпанелі (F-80…F-130) не змінює правил розділу 5, а за 2.3 вони «реалізовані лише в модулі». Легенда (каталог, 6.4, п. 6): «Менеджер налаштовує сезони і коефіцієнти без участі розробників», тоді як BL-40 задає їх константами. Кейс «менеджер змінює коефіцієнт» неможливо ні виконати, ні визнати непотрібним.</t>
        </is>
      </c>
      <c r="E31" s="4" t="inlineStr">
        <is>
          <t>2.1, «Доступні функції» Менеджера: «Затверджує значення правил розділу 5 поза продуктом; у версії 1 окремих функцій у продукті не має(очікує підтвердження замовника)». До 1.2 «Поза обсягом» додати: «налаштування сезонів і коефіцієнтів менеджером (у версії 1 - фіксовані значення BL-40)(очікує підтвердження замовника)». (очікує підтвердження замовника) - потребує підтвердження замовником (Q-13).</t>
        </is>
      </c>
      <c r="F31" s="4" t="inlineStr">
        <is>
          <t>Чаплюк Д. (DEF-ДЧ-07; доказ із легенди - Бєлянцева А., DEF-БА-01)</t>
        </is>
      </c>
      <c r="G31" s="4" t="inlineStr">
        <is>
          <t>прийнято; обсяг - питання замовнику</t>
        </is>
      </c>
    </row>
    <row r="32" ht="84.75" customHeight="1">
      <c r="A32" s="4" t="n">
        <v>29</v>
      </c>
      <c r="B32" s="4" t="inlineStr">
        <is>
          <t>розд. 1.2 (обсяг)</t>
        </is>
      </c>
      <c r="C32" s="4" t="inlineStr">
        <is>
          <t>Повнота</t>
        </is>
      </c>
      <c r="D32" s="4" t="inlineStr">
        <is>
          <t>п. 2 чек-листа повноти (усі необхідні вимоги присутні). Замовлення (каталог, 6.4, п. 4-5): гість бачить розрахунок за ночами і політику скасування до підтвердження бронювання. У SRS 1.0 вимог до цього немає: F-50 показує «£&lt;тариф&gt; x &lt;N&gt; nights» за фіксованим тарифом, а за 2.3 коефіцієнти й політика реалізовані лише в модулі. Невідомо, чи очікування входить у версію 1.</t>
        </is>
      </c>
      <c r="E32" s="4" t="inlineStr">
        <is>
          <t>До 1.2 «Поза обсягом» додати: «відображення гостю розрахунку вартості за ночами (BL-50) і плати за скасування (BL-60) до підтвердження бронювання (у версії 1 їх забезпечують лише методи модуля)(очікує підтвердження замовника)». (очікує підтвердження замовника) - потребує підтвердження замовником (Q-14).</t>
        </is>
      </c>
      <c r="F32" s="4" t="inlineStr">
        <is>
          <t>Бєлянцева А. (DEF-БА-02)</t>
        </is>
      </c>
      <c r="G32" s="4" t="inlineStr">
        <is>
          <t>прийнято; обсяг - питання замовнику</t>
        </is>
      </c>
    </row>
    <row r="33">
      <c r="A33" t="n">
        <v>30</v>
      </c>
      <c r="B33" t="inlineStr">
        <is>
          <t>Розд. 2.2</t>
        </is>
      </c>
      <c r="C33" t="inlineStr">
        <is>
          <t>Однозначність</t>
        </is>
      </c>
      <c r="D33" t="inlineStr">
        <is>
          <t>п. 2, 4 чек-листа однозначності. «поточні версії Chrome і Firefox» - поняття розмите: браузери оновлюються автоматично, «поточна» версія змінюється з часом і не дає тестувальнику однозначного критерію.</t>
        </is>
      </c>
      <c r="E33" t="inlineStr">
        <is>
          <t>Зафіксувати нижню межу версії: «Chrome і Firefox версій не нижче N (актуальні на дату підписання SRS)(очікує підтвердження замовника), де N визначає замовник». (очікує підтвердження замовника) - потребує підтвердження замовником.</t>
        </is>
      </c>
      <c r="F33" t="inlineStr">
        <is>
          <t>Чаплюк Д. (DEF-ДЧ-01)</t>
        </is>
      </c>
      <c r="G33" t="inlineStr">
        <is>
          <t>прийнято</t>
        </is>
      </c>
    </row>
    <row r="34">
      <c r="A34" t="n">
        <v>31</v>
      </c>
      <c r="B34" t="inlineStr">
        <is>
          <t>Розд. 2.3</t>
        </is>
      </c>
      <c r="C34" t="inlineStr">
        <is>
          <t>Однозначність</t>
        </is>
      </c>
      <c r="D34" t="inlineStr">
        <is>
          <t>п. 2, 4 чек-листа однозначності. «Дані demo періодично скидаються до початкового стану» - не визначено ні інтервал, ні момент, ні спосіб скидання; тестувальник не знає, коли зникнуть тестові бронювання й номери.</t>
        </is>
      </c>
      <c r="E34" t="inlineStr">
        <is>
          <t>Уточнити: «Дані demo скидаються щодня о HH:MM(очікує підтвердження замовника) (TZ(очікує підтвердження замовника)); якщо розклад невідомий - тести зобовязані створювати власні дані й не покладатися на початковий стан». (очікує підтвердження замовника) - уточнити у замовника (Q-15).</t>
        </is>
      </c>
      <c r="F34" t="inlineStr">
        <is>
          <t>Чаплюк Д. (DEF-ДЧ-02)</t>
        </is>
      </c>
      <c r="G34" t="inlineStr">
        <is>
          <t>прийнято</t>
        </is>
      </c>
    </row>
    <row r="35">
      <c r="A35" t="n">
        <v>32</v>
      </c>
      <c r="B35" t="inlineStr">
        <is>
          <t>Розд. 1.4</t>
        </is>
      </c>
      <c r="C35" t="inlineStr">
        <is>
          <t>Однозначність</t>
        </is>
      </c>
      <c r="D35" t="inlineStr">
        <is>
          <t>п. 1 чек-листа однозначності. Посилання SN-BL-01 вказує «README модуля версій 1.0.0 і 2.0.0» - незрозуміло, до якої версії застосовується SRS v1.0 чи до обох, і чим вони відрізняються.</t>
        </is>
      </c>
      <c r="E35" t="inlineStr">
        <is>
          <t>Вказати єдину актуальну версію модуля або описати відмінності та прив'язати до них групи вимог розд. 5.</t>
        </is>
      </c>
      <c r="F35" t="inlineStr">
        <is>
          <t>Чаплюк Д. (DEF-ДЧ-03)</t>
        </is>
      </c>
      <c r="G35" t="inlineStr">
        <is>
          <t>прийнято</t>
        </is>
      </c>
    </row>
    <row r="36">
      <c r="A36" t="n">
        <v>33</v>
      </c>
      <c r="B36" t="inlineStr">
        <is>
          <t>Розд. 1.3</t>
        </is>
      </c>
      <c r="C36" t="inlineStr">
        <is>
          <t>Повнота</t>
        </is>
      </c>
      <c r="D36" t="inlineStr">
        <is>
          <t>п. 1, 4 чек-листа повноти. У глосарії відсутні терміни, що вживаються у вимогах: «вихідна ніч / вихідні дні» (BL-30, BL-50), «знижка за тривале проживання» (BL-50), «доступність / зайнятість номера» (BL-70). Без них вимоги допускають різне тлумачення.</t>
        </is>
      </c>
      <c r="E36" t="inlineStr">
        <is>
          <t>Додати до 1.3 визначення відсутніх термінів; «ніч вихідного дня» - узгоджено з Q-2. Решту термінів уточнити на Demo.</t>
        </is>
      </c>
      <c r="F36" t="inlineStr">
        <is>
          <t>Чаплюк Д. (DEF-ДЧ-04)</t>
        </is>
      </c>
      <c r="G36" t="inlineStr">
        <is>
          <t>прийнято</t>
        </is>
      </c>
    </row>
    <row r="37">
      <c r="A37" t="n">
        <v>34</v>
      </c>
      <c r="B37" t="inlineStr">
        <is>
          <t>Розд. 2.2, 2.3</t>
        </is>
      </c>
      <c r="C37" t="inlineStr">
        <is>
          <t>Повнота</t>
        </is>
      </c>
      <c r="D37" t="inlineStr">
        <is>
          <t>п. 4, 5 чек-листа повноти. Середовище й обмеження не визначають часовий пояс і джерело «поточної дати» (today), хоча BL-10, BL-40, BL-30 і BL-60 залежать від неї.</t>
        </is>
      </c>
      <c r="E37" t="inlineStr">
        <is>
          <t>Додати: «Дати розглядаються в часовому поясі UTC(очікує підтвердження замовника); today береться з системного часу сервера(очікує підтвердження замовника)». (очікує підтвердження замовника) - потребує підтвердження замовником.</t>
        </is>
      </c>
      <c r="F37" t="inlineStr">
        <is>
          <t>Чаплюк Д. (DEF-ДЧ-05)</t>
        </is>
      </c>
      <c r="G37" t="inlineStr">
        <is>
          <t>прийнято</t>
        </is>
      </c>
    </row>
    <row r="38">
      <c r="A38" t="n">
        <v>35</v>
      </c>
      <c r="B38" t="inlineStr">
        <is>
          <t>Розд. 2.2</t>
        </is>
      </c>
      <c r="C38" t="inlineStr">
        <is>
          <t>Несуперечливість</t>
        </is>
      </c>
      <c r="D38" t="inlineStr">
        <is>
          <t>п. 1 чек-листа несуперечливості. Модуль названо «без зовнішніх залежностей» і одразу вказано Maven 3.9 та JUnit 5, які самі є залежностями/інструментами збірки.</t>
        </is>
      </c>
      <c r="E38" t="inlineStr">
        <is>
          <t>Переформулювати: «без залежностей часу виконання (runtime); Maven 3.9 і JUnit 5 - лише для збірки та тестування».</t>
        </is>
      </c>
      <c r="F38" t="inlineStr">
        <is>
          <t>Чаплюк Д. (DEF-ДЧ-08)</t>
        </is>
      </c>
      <c r="G38" t="inlineStr">
        <is>
          <t>прийнято</t>
        </is>
      </c>
    </row>
    <row r="39">
      <c r="A39" t="n">
        <v>36</v>
      </c>
      <c r="B39" t="inlineStr">
        <is>
          <t>Розд. 1.2</t>
        </is>
      </c>
      <c r="C39" t="inlineStr">
        <is>
          <t>Простежуваність</t>
        </is>
      </c>
      <c r="D39" t="inlineStr">
        <is>
          <t>п. 1, 2 чек-листа простежуваності. Розд. 1.2 перелічує функції обсягу, але не посилається на відповідні ідентифікатори вимог (BL-10…BL-80).</t>
        </is>
      </c>
      <c r="E39" t="inlineStr">
        <is>
          <t>Додати: «валідація - BL-10, BL-20; тарифи - BL-30…BL-50; скасування - BL-60, BL-80; зайнятість - BL-70».</t>
        </is>
      </c>
      <c r="F39" t="inlineStr">
        <is>
          <t>Чаплюк Д. (DEF-ДЧ-09)</t>
        </is>
      </c>
      <c r="G39" t="inlineStr">
        <is>
          <t>прийнято</t>
        </is>
      </c>
    </row>
    <row r="40">
      <c r="A40" t="n">
        <v>37</v>
      </c>
      <c r="B40" t="inlineStr">
        <is>
          <t>Розд. 1.4</t>
        </is>
      </c>
      <c r="C40" t="inlineStr">
        <is>
          <t>Простежуваність</t>
        </is>
      </c>
      <c r="D40" t="inlineStr">
        <is>
          <t>п. 2 чек-листа простежуваності. «Каталог продуктів, картка П4» наведено без версії, дати й розташування; перевірити відповідність SRS замовленню неможливо.</t>
        </is>
      </c>
      <c r="E40" t="inlineStr">
        <is>
          <t>Додати версію/дату картки та точне розташування (шлях у репозиторії або URL).</t>
        </is>
      </c>
      <c r="F40" t="inlineStr">
        <is>
          <t>Чаплюк Д. (DEF-ДЧ-10)</t>
        </is>
      </c>
      <c r="G40" t="inlineStr">
        <is>
          <t>прийнято</t>
        </is>
      </c>
    </row>
    <row r="41">
      <c r="A41" t="n">
        <v>38</v>
      </c>
      <c r="B41" t="inlineStr">
        <is>
          <t>Розд. 2.3, 1.4</t>
        </is>
      </c>
      <c r="C41" t="inlineStr">
        <is>
          <t>Здійсненність</t>
        </is>
      </c>
      <c r="D41" t="inlineStr">
        <is>
          <t>п. 1, 2 чек-листа здійсненності. Тести виконуються на публічному demo з обліковим записом admin/password, доступним будь-кому; дані скидаються в невизначений момент - відтворюваність тестів не гарантована.</t>
        </is>
      </c>
      <c r="E41" t="inlineStr">
        <is>
          <t>Додати вимогу: «тести створюють власні дані й не залежать від початкового стану demo; зафіксувати ризик спільного облікового запису».</t>
        </is>
      </c>
      <c r="F41" t="inlineStr">
        <is>
          <t>Чаплюк Д. (DEF-ДЧ-11)</t>
        </is>
      </c>
      <c r="G41" t="inlineStr">
        <is>
          <t>прийнято</t>
        </is>
      </c>
    </row>
    <row r="42">
      <c r="A42" t="n">
        <v>39</v>
      </c>
      <c r="B42" t="inlineStr">
        <is>
          <t>Розд. 2.3</t>
        </is>
      </c>
      <c r="C42" t="inlineStr">
        <is>
          <t>Здійсненність</t>
        </is>
      </c>
      <c r="D42" t="inlineStr">
        <is>
          <t>п. 1, 3 чек-листа здійсненності. Припущення «числовий тариф однаковий незалежно від валюти» не забезпечує збіжних результатів: demo рахує фіксованим тарифом, модуль - із коефіцієнтами, надбавкою і знижкою. Спільні тест-кейси нездійсненні.</t>
        </is>
      </c>
      <c r="E42" t="inlineStr">
        <is>
          <t>Явно розділити очікувані результати: «тест-кейси розд. 3 (demo) і розд. 5 (модуль) мають окремі очікувані значення».</t>
        </is>
      </c>
      <c r="F42" t="inlineStr">
        <is>
          <t>Чаплюк Д. (DEF-ДЧ-12)</t>
        </is>
      </c>
      <c r="G42" t="inlineStr">
        <is>
          <t>прийнято</t>
        </is>
      </c>
    </row>
    <row r="43">
      <c r="A43" t="n">
        <v>40</v>
      </c>
      <c r="B43" t="inlineStr">
        <is>
          <t>Розд. 2.2</t>
        </is>
      </c>
      <c r="C43" t="inlineStr">
        <is>
          <t>Тестопридатність</t>
        </is>
      </c>
      <c r="D43" t="inlineStr">
        <is>
          <t>п. 4 чек-листа тестопридатності. «Серверна частина - REST-сервіси demo» зазначена без базового URL API, переліку ендпоінтів і формату даних; інтеграційні тести неможливо написати.</t>
        </is>
      </c>
      <c r="E43" t="inlineStr">
        <is>
          <t>Додати базовий URL REST API demo та посилання на специфікацію або Swagger-документацію.</t>
        </is>
      </c>
      <c r="F43" t="inlineStr">
        <is>
          <t>Чаплюк Д. (DEF-ДЧ-13)</t>
        </is>
      </c>
      <c r="G43" t="inlineStr">
        <is>
          <t>прийнято</t>
        </is>
      </c>
    </row>
    <row r="44">
      <c r="A44" t="n">
        <v>41</v>
      </c>
      <c r="B44" t="inlineStr">
        <is>
          <t>Розд. 2.3</t>
        </is>
      </c>
      <c r="C44" t="inlineStr">
        <is>
          <t>Тестопридатність</t>
        </is>
      </c>
      <c r="D44" t="inlineStr">
        <is>
          <t>п. 4 чек-листа тестопридатності. Правило «HALF_UP до 2 знаків» не має числового прикладу; тест-кейс на межових значеннях може трактувати результат по-різному.</t>
        </is>
      </c>
      <c r="E44" t="inlineStr">
        <is>
          <t>Додати нормативний приклад: «125.675 → 125.68; 125.674 → 125.67».</t>
        </is>
      </c>
      <c r="F44" t="inlineStr">
        <is>
          <t>Чаплюк Д. (DEF-ДЧ-14)</t>
        </is>
      </c>
      <c r="G44" t="inlineStr">
        <is>
          <t>прийнято</t>
        </is>
      </c>
    </row>
    <row r="45">
      <c r="A45" t="n">
        <v>42</v>
      </c>
      <c r="B45" t="inlineStr">
        <is>
          <t>F-110</t>
        </is>
      </c>
      <c r="C45" t="inlineStr">
        <is>
          <t>Повнота</t>
        </is>
      </c>
      <c r="D45" t="inlineStr">
        <is>
          <t>п. 2, 4 чек-листа повноти. F-110 вимагає скасування «звернувшись до адміністратора», однак F-80…F-100 не містять жодної функції адмінпанелі для скасування бронювання; не описано статус бронювання і утримана плата.</t>
        </is>
      </c>
      <c r="E45" t="inlineStr">
        <is>
          <t>Додати вимогу до адмінпанелі: дія «скасувати бронювання», зміна статусу на «скасовано», розрахунок плати за BL-60. Виправлення - після підтвердження Q-9(очікує підтвердження замовника).</t>
        </is>
      </c>
      <c r="F45" t="inlineStr">
        <is>
          <t>Чаплюк Д. (DEF-ДЧ-19)</t>
        </is>
      </c>
      <c r="G45" t="inlineStr">
        <is>
          <t>прийнято; виправлення - після відповіді на Q-9</t>
        </is>
      </c>
    </row>
    <row r="46">
      <c r="A46" t="n">
        <v>43</v>
      </c>
      <c r="B46" t="inlineStr">
        <is>
          <t>F-90</t>
        </is>
      </c>
      <c r="C46" t="inlineStr">
        <is>
          <t>Повнота</t>
        </is>
      </c>
      <c r="D46" t="inlineStr">
        <is>
          <t>п. 4, 5 чек-листа повноти. Форма «Create» не описує валідацію: обов'язкові поля, допустиму ціну (≤ 0?), унікальність номера/назви, реакцію на порожнє поле чи дублікат.</t>
        </is>
      </c>
      <c r="E46" t="inlineStr">
        <is>
          <t>Додати правила валідації форми «Create»: обов'язкові поля, мін./макс. ціна(очікує підтвердження замовника), реакція на дублікат і порожнє поле. (очікує підтвердження замовника) - звірити з demo.</t>
        </is>
      </c>
      <c r="F46" t="inlineStr">
        <is>
          <t>Чаплюк Д. (DEF-ДЧ-20)</t>
        </is>
      </c>
      <c r="G46" t="inlineStr">
        <is>
          <t>прийнято; числа - після звірки з demo</t>
        </is>
      </c>
    </row>
    <row r="47">
      <c r="A47" t="n">
        <v>44</v>
      </c>
      <c r="B47" t="inlineStr">
        <is>
          <t>F-70</t>
        </is>
      </c>
      <c r="C47" t="inlineStr">
        <is>
          <t>Тестопридатність</t>
        </is>
      </c>
      <c r="D47" t="inlineStr">
        <is>
          <t>п. 4, 5 чек-листа тестопридатності. Тексти помилок не визначені; обмеження задані лише для Subject, Message, Phone - для Name та Email їх немає. Очікуваний результат тест-кейсу сформулювати неможливо.</t>
        </is>
      </c>
      <c r="E47" t="inlineStr">
        <is>
          <t>Додати обмеження для Name (мін./макс. довжина(очікує підтвердження замовника)) і Email (формат); визначити тексти або шаблони повідомлень про помилку для кожного поля. (очікує підтвердження замовника) - звірити з demo.</t>
        </is>
      </c>
      <c r="F47" t="inlineStr">
        <is>
          <t>Чаплюк Д. (DEF-ДЧ-30)</t>
        </is>
      </c>
      <c r="G47" t="inlineStr">
        <is>
          <t>прийнято; межі Name/Email - після звірки з demo</t>
        </is>
      </c>
    </row>
    <row r="48">
      <c r="A48" s="8" t="n">
        <v>45</v>
      </c>
      <c r="B48" s="8" t="inlineStr">
        <is>
          <t>BL-20</t>
        </is>
      </c>
      <c r="C48" s="8" t="inlineStr">
        <is>
          <t>Однозначність</t>
        </is>
      </c>
      <c r="D48" s="8" t="inlineStr">
        <is>
          <t>п. 1, 2 чек-листа однозначності. Формат email «локальна_частина@домен.зона» не визначає допустимі символи в локальній частині, поведінку при піддоменах (user@mail.domain.com) та чутливість до регістру: два розробники реалізують різну валідацію ізольовано від RFC 5321.</t>
        </is>
      </c>
      <c r="E48" s="8" t="inlineStr">
        <is>
          <t>Замінити текстовий шаблон на точний RegEx або посилання на RFC 5321 §4.1.2; явно вказати дозволені символи локальної частини, допустимість піддоменів та те, що email не чутливий до регістру.</t>
        </is>
      </c>
      <c r="F48" s="8" t="inlineStr">
        <is>
          <t>Вігура С. (DEF-ВС-01)</t>
        </is>
      </c>
      <c r="G48" s="8" t="inlineStr">
        <is>
          <t>відкрито</t>
        </is>
      </c>
    </row>
    <row r="49">
      <c r="A49" s="8" t="n">
        <v>46</v>
      </c>
      <c r="B49" s="8" t="inlineStr">
        <is>
          <t>P-20</t>
        </is>
      </c>
      <c r="C49" s="8" t="inlineStr">
        <is>
          <t>Однозначність</t>
        </is>
      </c>
      <c r="D49" s="8" t="inlineStr">
        <is>
          <t>п. 1, 3 чек-листа однозначності. «Велике навантаження» не має числового визначення (кількість одночасних користувачів, RPS, обсяг даних), а «деградація продуктивності» не має вимірного baseline - вимога допускає кілька несумісних інтерпретацій.</t>
        </is>
      </c>
      <c r="E49" s="8" t="inlineStr">
        <is>
          <t>Замінити P-20 на: «Система підтримує не менше 50 одночасних запитів без перевищення P95 часу відгуку 2 с і частки помилок &gt; 0,1 %. Навантажувальне тестування - Apache JMeter, 50 потоків, 5 хв».</t>
        </is>
      </c>
      <c r="F49" s="8" t="inlineStr">
        <is>
          <t>Вігура С. (DEF-ВС-02)</t>
        </is>
      </c>
      <c r="G49" s="8" t="inlineStr">
        <is>
          <t>відкрито</t>
        </is>
      </c>
    </row>
    <row r="50">
      <c r="A50" s="8" t="n">
        <v>47</v>
      </c>
      <c r="B50" s="8" t="inlineStr">
        <is>
          <t>BL-50</t>
        </is>
      </c>
      <c r="C50" s="8" t="inlineStr">
        <is>
          <t>Однозначність</t>
        </is>
      </c>
      <c r="D50" s="8" t="inlineStr">
        <is>
          <t>п. 2 чек-листа однозначності. BL-50 задає nightPrice = baseRate x seasonFactor x 1.15 «для вихідної ночі», але не фіксує явно, що для буднів множник 1.15 не застосовується (nightPrice = baseRate x seasonFactor). Розробник може прочитати формулу як таку, що діє для всіх ночей.</t>
        </is>
      </c>
      <c r="E50" s="8" t="inlineStr">
        <is>
          <t>Доповнити BL-50: «Для будньої ночі nightPrice = baseRate x seasonFactor; множник 1,15 застосовується виключно до ночей, що визначаються методом isWeekendNight як вихідні.»</t>
        </is>
      </c>
      <c r="F50" s="8" t="inlineStr">
        <is>
          <t>Вігура С. (DEF-ВС-03)</t>
        </is>
      </c>
      <c r="G50" s="8" t="inlineStr">
        <is>
          <t>відкрито</t>
        </is>
      </c>
    </row>
    <row r="51">
      <c r="A51" s="8" t="n">
        <v>48</v>
      </c>
      <c r="B51" s="8" t="inlineStr">
        <is>
          <t>BL-10</t>
        </is>
      </c>
      <c r="C51" s="8" t="inlineStr">
        <is>
          <t>Повнота</t>
        </is>
      </c>
      <c r="D51" s="8" t="inlineStr">
        <is>
          <t>п. 2, 3 чек-листа повноти. BL-10 декларує повернення «списку кодів помилок BookingError», однак жодний код для порушення порядку дат (checkOut &lt;= checkIn), перевищення діапазону ночей [1;30] та заїзду в минулому не перелічений. BL-20 іменує INVALID_EMAIL і INVALID_PHONE, але аналогічні коди для дат і тривалості броні відсутні.</t>
        </is>
      </c>
      <c r="E51" s="8" t="inlineStr">
        <is>
          <t>Доповнити BL-10 переліком кодів: INVALID_DATE_ORDER (checkOut &lt;= checkIn), INVALID_NIGHTS (nights &lt; 1 або &gt; 30), INVALID_CHECKIN_PAST (checkIn &lt; today). Або додати підрозділ з повним переліком BookingError.</t>
        </is>
      </c>
      <c r="F51" s="8" t="inlineStr">
        <is>
          <t>Вігура С. (DEF-ВС-04)</t>
        </is>
      </c>
      <c r="G51" s="8" t="inlineStr">
        <is>
          <t>відкрито</t>
        </is>
      </c>
    </row>
    <row r="52">
      <c r="A52" s="8" t="n">
        <v>49</v>
      </c>
      <c r="B52" s="8" t="inlineStr">
        <is>
          <t>BL-80</t>
        </is>
      </c>
      <c r="C52" s="8" t="inlineStr">
        <is>
          <t>Повнота</t>
        </is>
      </c>
      <c r="D52" s="8" t="inlineStr">
        <is>
          <t>п. 1, 2 чек-листа повноти. BL-80 охоплює два з трьох рівнів штрафу за скасування: &gt;= 7 днів (0 %) та 3-6 днів (50 %), але ОПУСКАЄ випадок &lt; 3 днів. Розробник, що спирається лише на BL-80, реалізує неповну логіку скасування; правило 100 % штрафу є лише у BL-60, без посилання в BL-80.</t>
        </is>
      </c>
      <c r="E52" s="8" t="inlineStr">
        <is>
          <t>Доповнити BL-80 третім правилом: «якщо до дати заїзду залишилось менше трьох днів, готель утримує повну вартість проживання (100 %)». Або замінити BL-80 посиланням: «Правила скасування - за BL-60».</t>
        </is>
      </c>
      <c r="F52" s="8" t="inlineStr">
        <is>
          <t>Вігура С. (DEF-ВС-05)</t>
        </is>
      </c>
      <c r="G52" s="8" t="inlineStr">
        <is>
          <t>відкрито</t>
        </is>
      </c>
    </row>
    <row r="53">
      <c r="A53" s="8" t="n">
        <v>50</v>
      </c>
      <c r="B53" s="8" t="inlineStr">
        <is>
          <t>D-20</t>
        </is>
      </c>
      <c r="C53" s="8" t="inlineStr">
        <is>
          <t>Повнота</t>
        </is>
      </c>
      <c r="D53" s="8" t="inlineStr">
        <is>
          <t>п. 2, 4 чек-листа повноти. D-20 зобов'язує оформити довідку адміністратора «згідно з SN-DOC-07», але не визначає ані обов'язкових розділів, ані тем і глибини опису. Два виконавці створять документи з принципово різним наповненням.</t>
        </is>
      </c>
      <c r="E53" s="8" t="inlineStr">
        <is>
          <t>Доповнити D-20 переліком обов'язкових розділів довідки (авторизація, управління бронюваннями, звіти, FAQ, контакти підтримки) або прикласти шаблон згідно з SN-DOC-07.</t>
        </is>
      </c>
      <c r="F53" s="8" t="inlineStr">
        <is>
          <t>Вігура С. (DEF-ВС-06)</t>
        </is>
      </c>
      <c r="G53" s="8" t="inlineStr">
        <is>
          <t>відкрито</t>
        </is>
      </c>
    </row>
    <row r="54">
      <c r="A54" s="8" t="n">
        <v>51</v>
      </c>
      <c r="B54" s="8" t="inlineStr">
        <is>
          <t>BL-60 / BL-80</t>
        </is>
      </c>
      <c r="C54" s="8" t="inlineStr">
        <is>
          <t>Несуперечливість</t>
        </is>
      </c>
      <c r="D54" s="8" t="inlineStr">
        <is>
          <t>п. 1, 2 чек-листа несуперечливості. BL-80 є неповним дублюванням BL-60: BL-60 визначає три рівні штрафу (0 % / 50 % / 100 %), BL-80 - лише два (0 % / 50 %) без посилання на BL-60 і без правила &lt; 3 днів. Паралельне існування двох перекривних вимог з різною повнотою і без крос-посилання спричинить розбіжності в реалізації та тестуванні.</t>
        </is>
      </c>
      <c r="E54" s="8" t="inlineStr">
        <is>
          <t>Або вилучити BL-80 і зробити BL-60 єдиним джерелом правди для логіки скасування, або доповнити BL-80 правилом &lt; 3 днів і додати в обидві вимоги взаємне посилання.</t>
        </is>
      </c>
      <c r="F54" s="8" t="inlineStr">
        <is>
          <t>Вігура С. (DEF-ВС-07)</t>
        </is>
      </c>
      <c r="G54" s="8" t="inlineStr">
        <is>
          <t>відкрито</t>
        </is>
      </c>
    </row>
    <row r="55">
      <c r="A55" s="8" t="n">
        <v>52</v>
      </c>
      <c r="B55" s="8" t="inlineStr">
        <is>
          <t>GUI-90 / Розд. 2.2</t>
        </is>
      </c>
      <c r="C55" s="8" t="inlineStr">
        <is>
          <t>Несуперечливість</t>
        </is>
      </c>
      <c r="D55" s="8" t="inlineStr">
        <is>
          <t>п. 1 чек-листа несуперечливості. GUI-90 вимагає відображення системи на «кнопкових телефонах без браузера», тоді як розд. 2.2 визначає середовище виконання як React SPA для Chrome &gt;= 118 та Firefox &gt;= 119. React SPA фізично не може виконуватися на пристрої без браузера; дві вимоги взаємовиключні.</t>
        </is>
      </c>
      <c r="E55" s="8" t="inlineStr">
        <is>
          <t>Вилучити з GUI-90 пункт про «кнопкові телефони без браузера» як несумісний з архітектурою SPA. Уточнити мінімальний розмір екрана та підтримувані браузери відповідно до розд. 2.2.</t>
        </is>
      </c>
      <c r="F55" s="8" t="inlineStr">
        <is>
          <t>Вігура С. (DEF-ВС-08)</t>
        </is>
      </c>
      <c r="G55" s="8" t="inlineStr">
        <is>
          <t>відкрито</t>
        </is>
      </c>
    </row>
    <row r="56">
      <c r="A56" s="8" t="n">
        <v>53</v>
      </c>
      <c r="B56" s="8" t="inlineStr">
        <is>
          <t>BL-20</t>
        </is>
      </c>
      <c r="C56" s="8" t="inlineStr">
        <is>
          <t>Простежуваність</t>
        </is>
      </c>
      <c r="D56" s="8" t="inlineStr">
        <is>
          <t>п. 1 чек-листа простежуваності. Методи isValidEmail та isValidPhone, описані у BL-20, не прив'язані до жодного з класів, перелічених у заголовку розд. 5 (BookingValidator, PriceCalculator, Availability, enum BookingError). Відповідність між BL-20 і конкретним класом модуля ua.kpi.tzyapz.staynow не простежується.</t>
        </is>
      </c>
      <c r="E56" s="8" t="inlineStr">
        <is>
          <t>У BL-20 або в заголовку розд. 5 явно зазначити клас: «isValidEmail та isValidPhone - статичні методи BookingValidator». Додати це до таблиці відповідності у D-10 (README).</t>
        </is>
      </c>
      <c r="F56" s="8" t="inlineStr">
        <is>
          <t>Вігура С. (DEF-ВС-09)</t>
        </is>
      </c>
      <c r="G56" s="8" t="inlineStr">
        <is>
          <t>відкрито</t>
        </is>
      </c>
    </row>
    <row r="57">
      <c r="A57" s="8" t="n">
        <v>54</v>
      </c>
      <c r="B57" s="8" t="inlineStr">
        <is>
          <t>BL-10...BL-80</t>
        </is>
      </c>
      <c r="C57" s="8" t="inlineStr">
        <is>
          <t>Простежуваність</t>
        </is>
      </c>
      <c r="D57" s="8" t="inlineStr">
        <is>
          <t>п. 1, 2 чек-листа простежуваності. BL-вимоги не містять перехресних посилань на F-вимоги, які вони реалізують (BL-60 реалізує F-110, BL-70 реалізує F-30/F-60/F-90 тощо). Побудова матриці трасування вимог до тестів потребує умовиводу замість задокументованих зв'язків; ризик прогалин у тестовому покритті.</t>
        </is>
      </c>
      <c r="E57" s="8" t="inlineStr">
        <is>
          <t>Додати до кожної BL-вимоги поле «Реалізує F-вимогу: F-XXX», або надати матрицю трасування BL &lt;-&gt; F як додаток до SRS (SN-DOC-TM).</t>
        </is>
      </c>
      <c r="F57" s="8" t="inlineStr">
        <is>
          <t>Вігура С. (DEF-ВС-10)</t>
        </is>
      </c>
      <c r="G57" s="8" t="inlineStr">
        <is>
          <t>відкрито</t>
        </is>
      </c>
    </row>
    <row r="58">
      <c r="A58" s="8" t="n">
        <v>55</v>
      </c>
      <c r="B58" s="8" t="inlineStr">
        <is>
          <t>GUI-90</t>
        </is>
      </c>
      <c r="C58" s="8" t="inlineStr">
        <is>
          <t>Здійсненність</t>
        </is>
      </c>
      <c r="D58" s="8" t="inlineStr">
        <is>
          <t>п. 1 чек-листа здійсненності. Вимога «всі сторінки відображаються піксель-у-піксель однаково в усіх браузерах і на всіх пристроях» технічно нездійсненна: браузерні двигуни (Blink, Gecko, WebKit) за природою дають субпіксельні розбіжності в рендері шрифтів і тіней, а «всі пристрої» - нескінченна множина з різним DPI та роздільною здатністю.</t>
        </is>
      </c>
      <c r="E58" s="8" t="inlineStr">
        <is>
          <t>Замінити «піксель-у-піксель» на вимірний критерій: «відображення без функціональних відмінностей у Chrome &gt;= 118 та Firefox &gt;= 119 на екранах від 320 px до 2560 px шириною; перевірка - скріншот-тестування Playwright».</t>
        </is>
      </c>
      <c r="F58" s="8" t="inlineStr">
        <is>
          <t>Вігура С. (DEF-ВС-11)</t>
        </is>
      </c>
      <c r="G58" s="8" t="inlineStr">
        <is>
          <t>відкрито</t>
        </is>
      </c>
    </row>
    <row r="59">
      <c r="A59" s="8" t="n">
        <v>56</v>
      </c>
      <c r="B59" s="8" t="inlineStr">
        <is>
          <t>S-10</t>
        </is>
      </c>
      <c r="C59" s="8" t="inlineStr">
        <is>
          <t>Здійсненність</t>
        </is>
      </c>
      <c r="D59" s="8" t="inlineStr">
        <is>
          <t>п. 1 чек-листа здійсненності. «100 % захист від будь-яких кібератак, включно з невідомими на момент випуску» нездійсненний: захист від невідомих майбутніх векторів атаки неможливо ані реалізувати, ані верифікувати - це абсолютне твердження без технічної межі, яке жоден постачальник ПЗ не може гарантувати.</t>
        </is>
      </c>
      <c r="E59" s="8" t="inlineStr">
        <is>
          <t>Замінити S-10 на специфічні, досяжні заходи: «Система захищена від вразливостей OWASP Top 10 (звіт DAST); HTTPS обов'язково; залежності оновлюються кожні 90 днів; аутентифікація - bcrypt (cost &gt;= 12)».</t>
        </is>
      </c>
      <c r="F59" s="8" t="inlineStr">
        <is>
          <t>Вігура С. (DEF-ВС-12)</t>
        </is>
      </c>
      <c r="G59" s="8" t="inlineStr">
        <is>
          <t>відкрито</t>
        </is>
      </c>
    </row>
    <row r="60">
      <c r="A60" s="8" t="n">
        <v>57</v>
      </c>
      <c r="B60" s="8" t="inlineStr">
        <is>
          <t>U-10</t>
        </is>
      </c>
      <c r="C60" s="8" t="inlineStr">
        <is>
          <t>Тестопридатність</t>
        </is>
      </c>
      <c r="D60" s="8" t="inlineStr">
        <is>
          <t>п. 4, 5 чек-листа тестопридатності. «Інтерфейс гостьової частини інтуїтивно зрозумілий» - відсутній вимірний критерій прийнятності. Неможливо сформулювати тест-кейс з умовою «pass/fail», доки не визначено метрику (час виконання задачі, відсоток помилкових дій, бал за шкалою SUS).</t>
        </is>
      </c>
      <c r="E60" s="8" t="inlineStr">
        <is>
          <t>Доповнити U-10 вимірним критерієм: «не менше 80 % тестових користувачів (n &gt;= 5) завершують онлайн-бронювання без сторонньої допомоги протягом 5 хвилин; бал SUS &gt;= 70».</t>
        </is>
      </c>
      <c r="F60" s="8" t="inlineStr">
        <is>
          <t>Вігура С. (DEF-ВС-13)</t>
        </is>
      </c>
      <c r="G60" s="8" t="inlineStr">
        <is>
          <t>відкрито</t>
        </is>
      </c>
    </row>
    <row r="61">
      <c r="A61" s="8" t="n">
        <v>58</v>
      </c>
      <c r="B61" s="8" t="inlineStr">
        <is>
          <t>P-20</t>
        </is>
      </c>
      <c r="C61" s="8" t="inlineStr">
        <is>
          <t>Тестопридатність</t>
        </is>
      </c>
      <c r="D61" s="8" t="inlineStr">
        <is>
          <t>п. 4, 5 чек-листа тестопридатності. «Система витримує велике навантаження без деградації продуктивності» не дає ні умов запуску тесту (к-сть користувачів, RPS, тривалість), ні критерію прийнятності (ms, % помилок). Тест продуктивності не може мати результату «успіх / невдача» без числових порогів.</t>
        </is>
      </c>
      <c r="E61" s="8" t="inlineStr">
        <is>
          <t>Визначити кількісні параметри: навантаження (50 одночасних користувачів), тривалість (5 хв), метрики (P95 &lt;= 2 с, помилки &lt;= 0,1 %). Або об'єднати P-20 з оновленим P-10 в єдину вимогу продуктивності.</t>
        </is>
      </c>
      <c r="F61" s="8" t="inlineStr">
        <is>
          <t>Вігура С. (DEF-ВС-14)</t>
        </is>
      </c>
      <c r="G61" s="8" t="inlineStr">
        <is>
          <t>відкрито</t>
        </is>
      </c>
    </row>
    <row r="63">
      <c r="A63" t="inlineStr">
        <is>
          <t>* Знайдено під час зведення; другого незалежного рецензента для розд. 5 (Вігура С.) і розд. 6 (чернетка Бєлянцевої здана після зведення) немає - у Звіті про якість зазначити «перевірено одним рецензентом». Чернетку Чаплюка Д. (розд. 1-2, DEF-ДЧ-01...14) отримано 24.10.2026 і включено до реєстру (дефекти №30-41); DEF-ДЧ-06 =&gt; №24, DEF-ДЧ-07 =&gt; №28 (були зведені раніше).</t>
        </is>
      </c>
    </row>
  </sheetData>
  <autoFilter ref="A3:G32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A1" sqref="A1"/>
    </sheetView>
  </sheetViews>
  <sheetFormatPr baseColWidth="8" defaultColWidth="8.7109375" defaultRowHeight="15"/>
  <cols>
    <col width="18" customWidth="1" min="1" max="1"/>
    <col width="44" customWidth="1" min="2" max="2"/>
    <col width="26" customWidth="1" min="3" max="3"/>
    <col width="14" customWidth="1" min="4" max="5"/>
    <col width="16" customWidth="1" min="6" max="6"/>
    <col width="54" customWidth="1" min="7" max="7"/>
  </cols>
  <sheetData>
    <row r="1" ht="15.75" customHeight="1">
      <c r="A1" s="1" t="inlineStr">
        <is>
          <t>Розподіл розділів SRS 1.0 між рецензентами (кожен розділ - двоє незалежно)</t>
        </is>
      </c>
    </row>
    <row r="3" ht="25.5" customHeight="1">
      <c r="A3" s="3" t="inlineStr">
        <is>
          <t>Розділ SRS_04_СтейНау</t>
        </is>
      </c>
      <c r="B3" s="3" t="inlineStr">
        <is>
          <t>Зміст</t>
        </is>
      </c>
      <c r="C3" s="3" t="inlineStr">
        <is>
          <t>Ідентифікатори</t>
        </is>
      </c>
      <c r="D3" s="3" t="inlineStr">
        <is>
          <t>Рецензент 1</t>
        </is>
      </c>
      <c r="E3" s="3" t="inlineStr">
        <is>
          <t>Рецензент 2</t>
        </is>
      </c>
      <c r="F3" s="3" t="inlineStr">
        <is>
          <t>Дефектів у реєстрі</t>
        </is>
      </c>
      <c r="G3" s="3" t="inlineStr">
        <is>
          <t>Примітка</t>
        </is>
      </c>
    </row>
    <row r="4" ht="57.75" customHeight="1">
      <c r="A4" s="4" t="inlineStr">
        <is>
          <t>Розд. 1-2</t>
        </is>
      </c>
      <c r="B4" s="4" t="inlineStr">
        <is>
          <t>Вступ, терміни, посилання, ролі, середовище, обмеження</t>
        </is>
      </c>
      <c r="C4" s="4" t="inlineStr">
        <is>
          <t>- (без ID)</t>
        </is>
      </c>
      <c r="D4" s="4" t="inlineStr">
        <is>
          <t>Чаплюк Д.</t>
        </is>
      </c>
      <c r="E4" s="4" t="inlineStr">
        <is>
          <t>Бєлянцева А.</t>
        </is>
      </c>
      <c r="F4" s="4">
        <f>COUNTIF(Реєстр!B:B,"розд. 1*")+COUNTIF(Реєстр!B:B,"розд. 2*")</f>
        <v/>
      </c>
      <c r="G4" s="4" t="inlineStr">
        <is>
          <t>Правки до 1.2, 1.3, 2.1, 2.3 - у межах №3, 16, 17, 28, 29. Чернетка Чаплюка (14) у цей пакет не потрапила; чернетка Бєлянцевої - 14.10, після зведення</t>
        </is>
      </c>
    </row>
    <row r="5" ht="30.75" customHeight="1">
      <c r="A5" s="4" t="inlineStr">
        <is>
          <t>Розд. 3</t>
        </is>
      </c>
      <c r="B5" s="4" t="inlineStr">
        <is>
          <t>Функціональні вимоги</t>
        </is>
      </c>
      <c r="C5" s="4" t="inlineStr">
        <is>
          <t>F-10 … F-130 (+F-85)</t>
        </is>
      </c>
      <c r="D5" s="4" t="inlineStr">
        <is>
          <t>Чаплюк Д.</t>
        </is>
      </c>
      <c r="E5" s="4" t="inlineStr">
        <is>
          <t>Шкарупа М.</t>
        </is>
      </c>
      <c r="F5" s="4">
        <f>COUNTIF(Реєстр!B:B,"F-*")</f>
        <v/>
      </c>
      <c r="G5" s="4" t="inlineStr">
        <is>
          <t>Другий рядок F-80 → F-85; обидві чернетки здано до зведення</t>
        </is>
      </c>
    </row>
    <row r="6" ht="57.75" customHeight="1">
      <c r="A6" s="4" t="inlineStr">
        <is>
          <t>Розд. 4</t>
        </is>
      </c>
      <c r="B6" s="4" t="inlineStr">
        <is>
          <t>Вимоги до інтерфейсу користувача</t>
        </is>
      </c>
      <c r="C6" s="4" t="inlineStr">
        <is>
          <t>GUI-10 … GUI-90 (+ рядок 9 без ID → GUI-85)</t>
        </is>
      </c>
      <c r="D6" s="4" t="inlineStr">
        <is>
          <t>Шкарупа М.</t>
        </is>
      </c>
      <c r="E6" s="4" t="inlineStr">
        <is>
          <t>Гетьман Є.</t>
        </is>
      </c>
      <c r="F6" s="4">
        <f>COUNTIF(Реєстр!B:B,"GUI-*")+COUNTIF(Реєстр!B:B,"розд. 4*")</f>
        <v/>
      </c>
      <c r="G6" s="4" t="inlineStr">
        <is>
          <t>Обидві чернетки здано до зведення</t>
        </is>
      </c>
    </row>
    <row r="7" ht="30.75" customHeight="1">
      <c r="A7" s="4" t="inlineStr">
        <is>
          <t>Розд. 5</t>
        </is>
      </c>
      <c r="B7" s="4" t="inlineStr">
        <is>
          <t>Вимоги до бізнес-логіки модуля</t>
        </is>
      </c>
      <c r="C7" s="4" t="inlineStr">
        <is>
          <t>BL-10 … BL-80</t>
        </is>
      </c>
      <c r="D7" s="4" t="inlineStr">
        <is>
          <t>Гетьман Є.</t>
        </is>
      </c>
      <c r="E7" s="4" t="inlineStr">
        <is>
          <t>Вігура С.</t>
        </is>
      </c>
      <c r="F7" s="4">
        <f>COUNTIF(Реєстр!B:B,"BL-*")</f>
        <v/>
      </c>
      <c r="G7" s="4" t="inlineStr">
        <is>
          <t>Чернетки Вігури немає - розд. 5 перевірено одним рецензентом. BL-80 вилучено як дубль BL-60</t>
        </is>
      </c>
    </row>
    <row r="8" ht="98.25" customHeight="1">
      <c r="A8" s="4" t="inlineStr">
        <is>
          <t>Розд. 6</t>
        </is>
      </c>
      <c r="B8" s="4" t="inlineStr">
        <is>
          <t>Нефункціональні вимоги (P-/S-/U-/D-)</t>
        </is>
      </c>
      <c r="C8" s="4" t="inlineStr">
        <is>
          <t>P-10 … D-20</t>
        </is>
      </c>
      <c r="D8" s="4" t="inlineStr">
        <is>
          <t>Вігура С.</t>
        </is>
      </c>
      <c r="E8" s="4" t="inlineStr">
        <is>
          <t>Бєлянцева А.</t>
        </is>
      </c>
      <c r="F8" s="4">
        <f>COUNTIF(Реєстр!B:B,"P-*")+COUNTIF(Реєстр!B:B,"S-*")+COUNTIF(Реєстр!B:B,"U-*")+COUNTIF(Реєстр!B:B,"D-*")</f>
        <v/>
      </c>
      <c r="G8" s="4" t="inlineStr">
        <is>
          <t>Чернетки Вігури немає; чернетка Бєлянцевої здана після зведення (не незалежна)</t>
        </is>
      </c>
    </row>
    <row r="9">
      <c r="E9" s="5" t="inlineStr">
        <is>
          <t>Разом:</t>
        </is>
      </c>
      <c r="F9" s="5">
        <f>SUM(F4:F8)</f>
        <v/>
      </c>
    </row>
    <row r="11">
      <c r="A11" s="2" t="inlineStr">
        <is>
          <t>Схема: кожен розділ - двоє рецензентів, кожен рецензує рівно 2 розділи (Чаплюк: 1-2, 3; Шкарупа: 3, 4; Гетьман: 4, 5; Вігура: 5, 6; Бєлянцева: 6, 1-2). Фактично незалежні чернетки є для розд. 3, 4 (повністю), 1-2 (Чаплюк) і 5 (Гетьман).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34" customWidth="1" min="2" max="2"/>
    <col width="14" customWidth="1" min="3" max="3"/>
    <col width="64" customWidth="1" min="4" max="4"/>
    <col width="34" customWidth="1" min="5" max="5"/>
    <col width="60" customWidth="1" min="6" max="6"/>
  </cols>
  <sheetData>
    <row r="1" ht="15.75" customHeight="1">
      <c r="A1" s="1" t="inlineStr">
        <is>
          <t>Спірні рядки: об'єднано / відхилено / питання замовнику</t>
        </is>
      </c>
    </row>
    <row r="2">
      <c r="A2" s="2" t="inlineStr">
        <is>
          <t>Колонка «Рішення АО» - рішення Бєлянцевої А. (рядки 1-16 - з її файлу). Рядки 17-24: у колонці - ПРОЕКТ ТА, який Бєлянцева А. підтверджує або змінює.</t>
        </is>
      </c>
    </row>
    <row r="3">
      <c r="A3" s="3" t="inlineStr">
        <is>
          <t>№</t>
        </is>
      </c>
      <c r="B3" s="3" t="inlineStr">
        <is>
          <t>Рядок / дефект чернетки</t>
        </is>
      </c>
      <c r="C3" s="3" t="inlineStr">
        <is>
          <t>Автор</t>
        </is>
      </c>
      <c r="D3" s="3" t="inlineStr">
        <is>
          <t>Аргументи («адвокат замовника»: пункт чек-листа і доказ)</t>
        </is>
      </c>
      <c r="E3" s="3" t="inlineStr">
        <is>
          <t>Пропозиція ТА</t>
        </is>
      </c>
      <c r="F3" s="3" t="inlineStr">
        <is>
          <t>Рішення АО</t>
        </is>
      </c>
    </row>
    <row r="4" ht="71.25" customHeight="1">
      <c r="A4" s="4" t="n">
        <v>1</v>
      </c>
      <c r="B4" s="4" t="inlineStr">
        <is>
          <t>DEF-ГЄ-02: GUI-30 «короткий опис»</t>
        </is>
      </c>
      <c r="C4" s="4" t="inlineStr">
        <is>
          <t>Гетьман Є.</t>
        </is>
      </c>
      <c r="D4" s="4" t="inlineStr">
        <is>
          <t>Критерій однозначності: «короткий» без межі. Заперечення: GUI-30 лише перелічує вміст картки, а запропоноване «100 символів» вигадане - нема доказу, що виправлення усуває дефект, і нова вимога потребує числа від замовника.</t>
        </is>
      </c>
      <c r="E4" s="4" t="inlineStr">
        <is>
          <t>Відхилити; за потреби - питання замовнику</t>
        </is>
      </c>
      <c r="F4" s="4" t="inlineStr">
        <is>
          <t>ВІДХИЛЕНО. Автор не довів порушення п. 1-4: GUI-30 лише перелічує склад картки, «короткий опис» не дає двох очікуваних результатів. «100 символів» - число без джерела і без (очікує підтвердження замовника): виправлення породжує новий дефект (розд. 12 методички). Питання замовнику не потрібне.</t>
        </is>
      </c>
    </row>
    <row r="5" ht="57.75" customHeight="1">
      <c r="A5" s="4" t="n">
        <v>2</v>
      </c>
      <c r="B5" s="4" t="inlineStr">
        <is>
          <t>DEF-ГЄ-04: GUI-70 «поля позначаються як помилкові»</t>
        </is>
      </c>
      <c r="C5" s="4" t="inlineStr">
        <is>
          <t>Гетьман Є.</t>
        </is>
      </c>
      <c r="D5" s="4" t="inlineStr">
        <is>
          <t>Спосіб позначення (колір, іконка) - предмет GUI-тесту, а не неоднозначність. Виправлення вводить текст «Invalid credentials», якого немає в demo, - це новий дефект.</t>
        </is>
      </c>
      <c r="E5" s="4" t="inlineStr">
        <is>
          <t>Відхилити</t>
        </is>
      </c>
      <c r="F5" s="4" t="inlineStr">
        <is>
          <t>ВІДХИЛЕНО. «Поля позначаються як помилкові» перевіряється спостереженням (виділено / не виділено) - однозначність не порушена. Виправлення вводить текст «Invalid credentials», якого немає в demo, - новий дефект.</t>
        </is>
      </c>
    </row>
    <row r="6" ht="44.25" customHeight="1">
      <c r="A6" s="4" t="n">
        <v>3</v>
      </c>
      <c r="B6" s="4" t="inlineStr">
        <is>
          <t>DEF-ГЄ-06: BL-10 «не раніша за today»</t>
        </is>
      </c>
      <c r="C6" s="4" t="inlineStr">
        <is>
          <t>Гетьман Є.</t>
        </is>
      </c>
      <c r="D6" s="4" t="inlineStr">
        <is>
          <t>Фраза «не раніша» однозначно означає checkIn ≥ today; другого читання немає - п. 1-4 чек-листа не порушено.</t>
        </is>
      </c>
      <c r="E6" s="4" t="inlineStr">
        <is>
          <t>Відхилити</t>
        </is>
      </c>
      <c r="F6" s="4" t="inlineStr">
        <is>
          <t>ВІДХИЛЕНО. «Не раніша за today» має одне читання: checkIn ≥ today. Доказу другого тлумачення немає. Межу checkIn = today включити в юніт-тести BL-10 (спринт 4).</t>
        </is>
      </c>
    </row>
    <row r="7" ht="57.75" customHeight="1">
      <c r="A7" s="4" t="n">
        <v>4</v>
      </c>
      <c r="B7" s="4" t="inlineStr">
        <is>
          <t>DEF-ГЄ-09: BL-70 скасовані бронювання в isAvailable</t>
        </is>
      </c>
      <c r="C7" s="4" t="inlineStr">
        <is>
          <t>Гетьман Є.</t>
        </is>
      </c>
      <c r="D7" s="4" t="inlineStr">
        <is>
          <t>У BL-70 немає операції скасування - «скасованих» записів у модулі не існує; дефект гіпотетичний. Але в модулі немає і методу звільнення номера, хоча процес 3 легенди передбачає «система звільняє номер».</t>
        </is>
      </c>
      <c r="E7" s="4" t="inlineStr">
        <is>
          <t>Відхилити як дефект; винести питання замовнику (Q-9)</t>
        </is>
      </c>
      <c r="F7" s="4" t="inlineStr">
        <is>
          <t>ВІДХИЛЕНО як дефект: у розд. 5 немає операції скасування, тож «скасованих» записів не існує - дефект гіпотетичний. Прогалину (немає звільнення номера, хоча процес 3 легенди його має) виносимо замовнику - Q-9.</t>
        </is>
      </c>
    </row>
    <row r="8" ht="57.75" customHeight="1">
      <c r="A8" s="4" t="n">
        <v>5</v>
      </c>
      <c r="B8" s="4" t="inlineStr">
        <is>
          <t>DEF-ГЄ-15: BL-50 (IllegalArgumentException) ↔ BL-10 (список BookingError)</t>
        </is>
      </c>
      <c r="C8" s="4" t="inlineStr">
        <is>
          <t>Гетьман Є.</t>
        </is>
      </c>
      <c r="D8" s="4" t="inlineStr">
        <is>
          <t>Різні методи і рівні: validate повертає список для форми, total - калькулятор з виключенням. Суперечності немає; запропонована заміна ламає контракт, на який спиратимуться юніт-тести спринта 4.</t>
        </is>
      </c>
      <c r="E8" s="4" t="inlineStr">
        <is>
          <t>Відхилити</t>
        </is>
      </c>
      <c r="F8" s="4" t="inlineStr">
        <is>
          <t>ВІДХИЛЕНО. Несуперечливість (п. 2) - це різні результати для одного випадку; тут різні методи з різними контрактами (validate - список для форми, total - виняток на недопустимий виклик). Заміна зламала б контракт BL-50 для спринта 4.</t>
        </is>
      </c>
    </row>
    <row r="9" ht="57.75" customHeight="1">
      <c r="A9" s="4" t="n">
        <v>6</v>
      </c>
      <c r="B9" s="4" t="inlineStr">
        <is>
          <t>DEF-ГЄ-16: BL-20 «+380 і 9 цифр» ↔ F-70 «11-21 символ»</t>
        </is>
      </c>
      <c r="C9" s="4" t="inlineStr">
        <is>
          <t>Гетьман Є.</t>
        </is>
      </c>
      <c r="D9" s="4" t="inlineStr">
        <is>
          <t>Це різні об'єкти: F-70 - контактна форма demo, BL-20 - перевірка бронювання в модулі (розд. 2.3). Міркування в чернетці внутрішньо суперечливе. Реальну прогалину - відсутність правил для телефону у формі бронювання - закрито в №3.</t>
        </is>
      </c>
      <c r="E9" s="4" t="inlineStr">
        <is>
          <t>Відхилити; врахована в №3</t>
        </is>
      </c>
      <c r="F9" s="4" t="inlineStr">
        <is>
          <t>ВІДХИЛЕНО. F-70 - контактна форма demo, BL-20 - модуль; різні об'єкти не суперечать одне одному. Відмінність перевірок demo і модуля зафіксовано в 2.3 (№3).</t>
        </is>
      </c>
    </row>
    <row r="10" ht="44.25" customHeight="1">
      <c r="A10" s="4" t="n">
        <v>7</v>
      </c>
      <c r="B10" s="4" t="inlineStr">
        <is>
          <t>DEF-ГЄ-17: GUI-40 без посилань на F-60, F-70, BL-20</t>
        </is>
      </c>
      <c r="C10" s="4" t="inlineStr">
        <is>
          <t>Гетьман Є.</t>
        </is>
      </c>
      <c r="D10" s="4" t="inlineStr">
        <is>
          <t>Чек-лист простежуваності вимагає унікальних ID, а не перехресних посилань у кожній вимозі; зв'язки будуються матрицею у спринті 5.</t>
        </is>
      </c>
      <c r="E10" s="4" t="inlineStr">
        <is>
          <t>Відхилити</t>
        </is>
      </c>
      <c r="F10" s="4" t="inlineStr">
        <is>
          <t>ВІДХИЛЕНО. Чек-лист простежуваності (п. 1-5) вимагає унікальних ID і відсутності перекриття, а не перехресних посилань у кожній вимозі; зв'язки - у матриці спринта 5.</t>
        </is>
      </c>
    </row>
    <row r="11" ht="57.75" customHeight="1">
      <c r="A11" s="4" t="n">
        <v>8</v>
      </c>
      <c r="B11" s="4" t="inlineStr">
        <is>
          <t>DEF-ГЄ-20: BL-50 подвійне округлення</t>
        </is>
      </c>
      <c r="C11" s="4" t="inlineStr">
        <is>
          <t>Гетьман Є.</t>
        </is>
      </c>
      <c r="D11" s="4" t="inlineStr">
        <is>
          <t>Порядок округлення у BL-50 заданий однозначно (кожна ніч HALF_UP, потім підсумок × 0,90 HALF_UP); це не здійсненність. Нормативний приклад корисний для тестів спринта 3-4, але дефектом вимоги не є.</t>
        </is>
      </c>
      <c r="E11" s="4" t="inlineStr">
        <is>
          <t>Відхилити; приклад використати у кейсах</t>
        </is>
      </c>
      <c r="F11" s="4" t="inlineStr">
        <is>
          <t>ВІДХИЛЕНО. Порядок округлення в BL-50 заданий однозначно (кожна ніч HALF_UP → сума → × 0,90 HALF_UP); до ресурсів і технології (здійсненність) не стосується. Приклад перерахувати за термінами SRS 1.1 і використати в кейсах.</t>
        </is>
      </c>
    </row>
    <row r="12" ht="44.25" customHeight="1">
      <c r="A12" s="4" t="n">
        <v>9</v>
      </c>
      <c r="B12" s="4" t="inlineStr">
        <is>
          <t>DEF-ГЄ-23: BL-20 email «за RFC 5321»</t>
        </is>
      </c>
      <c r="C12" s="4" t="inlineStr">
        <is>
          <t>Гетьман Є.</t>
        </is>
      </c>
      <c r="D12" s="4" t="inlineStr">
        <is>
          <t>Формат у BL-20 заданий («локальна_частина@домен.зона»); RFC 5321 у Java 17 без залежностей не реалізується повністю й не перевіряється одним тестом - виправлення створює нездійсненну вимогу.</t>
        </is>
      </c>
      <c r="E12" s="4" t="inlineStr">
        <is>
          <t>Відхилити</t>
        </is>
      </c>
      <c r="F12" s="4" t="inlineStr">
        <is>
          <t>ВІДХИЛЕНО. Формат у BL-20 заданий; RFC 5321 у Java 17 без зовнішніх залежностей повністю не реалізується й одним тестом не перевіряється - виправлення створює нездійсненну вимогу.</t>
        </is>
      </c>
    </row>
    <row r="13" ht="30.75" customHeight="1">
      <c r="A13" s="4" t="n">
        <v>10</v>
      </c>
      <c r="B13" s="4" t="inlineStr">
        <is>
          <t>DEF-ГЄ-03 + DEF-ГЄ-22: GUI-60</t>
        </is>
      </c>
      <c r="C13" s="4" t="inlineStr">
        <is>
          <t>Гетьман Є.</t>
        </is>
      </c>
      <c r="D13" s="4" t="inlineStr">
        <is>
          <t>Один рядок вимоги і однакове виправлення (замінити суб'єктивні слова вимірюваними). Головний критерій - тестопридатність.</t>
        </is>
      </c>
      <c r="E13" s="4" t="inlineStr">
        <is>
          <t>Об'єднано → №12</t>
        </is>
      </c>
      <c r="F13" s="4" t="inlineStr">
        <is>
          <t>ПІДТВЕРДЖЕНО об'єднання → №12; критерій - тестопридатність (виправлення додає вимірювані ознаки).</t>
        </is>
      </c>
    </row>
    <row r="14" ht="57.75" customHeight="1">
      <c r="A14" s="4" t="n">
        <v>11</v>
      </c>
      <c r="B14" s="4" t="inlineStr">
        <is>
          <t>DEF-ГЄ-19 + DEF-ГЄ-21: GUI-90</t>
        </is>
      </c>
      <c r="C14" s="4" t="inlineStr">
        <is>
          <t>Гетьман Є.</t>
        </is>
      </c>
      <c r="D14" s="4" t="inlineStr">
        <is>
          <t>Одна вимога, одне виправлення. Головний критерій - здійсненність (усуваємо нездійсненне), тестопридатність - побічний. Крім того, у чернетці запропоновано «Chrome 128+, Firefox 130+», що суперечить розд. 2.2 («поточні версії»).</t>
        </is>
      </c>
      <c r="E14" s="4" t="inlineStr">
        <is>
          <t>Об'єднано → №15; версії не фіксувати</t>
        </is>
      </c>
      <c r="F14" s="4" t="inlineStr">
        <is>
          <t>ПІДТВЕРДЖЕНО → №15; критерій - здійсненність. Версії браузерів не фіксуємо (2.2 «поточні»), номер версії - у журналі виконання.</t>
        </is>
      </c>
    </row>
    <row r="15" ht="30.75" customHeight="1">
      <c r="A15" s="4" t="n">
        <v>12</v>
      </c>
      <c r="B15" s="4" t="inlineStr">
        <is>
          <t>DEF-ГЄ-11 + DEF-ГЄ-18: U-20 → GUI-120</t>
        </is>
      </c>
      <c r="C15" s="4" t="inlineStr">
        <is>
          <t>Гетьман Є.</t>
        </is>
      </c>
      <c r="D15" s="4" t="inlineStr">
        <is>
          <t>Один і той самий дефект під двома критеріями. За п. 3 чек-листа повноти («посилання на неіснуючі…») - повнота.</t>
        </is>
      </c>
      <c r="E15" s="4" t="inlineStr">
        <is>
          <t>Об'єднано → №24 (повнота)</t>
        </is>
      </c>
      <c r="F15" s="4" t="inlineStr">
        <is>
          <t>ПІДТВЕРДЖЕНО → №24, повнота (п. 3). У «Хто знайшов» №24 додати Чаплюк Д. (DEF-ДЧ-06, чернетка від 11.10, до зведення).</t>
        </is>
      </c>
    </row>
    <row r="16" ht="44.25" customHeight="1">
      <c r="A16" s="4" t="n">
        <v>13</v>
      </c>
      <c r="B16" s="4" t="inlineStr">
        <is>
          <t>DEF-ГЄ-10 + DEF-ГЄ-24: BL-80</t>
        </is>
      </c>
      <c r="C16" s="4" t="inlineStr">
        <is>
          <t>Гетьман Є.</t>
        </is>
      </c>
      <c r="D16" s="4" t="inlineStr">
        <is>
          <t>BL-80 - дубль BL-60: відсутність варіанта «менше 3 днів» і інший пріоритет зникають разом із вилученням вимоги; головний критерій - простежуваність (п. 1, 5).</t>
        </is>
      </c>
      <c r="E16" s="4" t="inlineStr">
        <is>
          <t>Об'єднано → №18</t>
        </is>
      </c>
      <c r="F16" s="4" t="inlineStr">
        <is>
          <t>ПІДТВЕРДЖЕНО → №18, простежуваність (п. 1, 5).</t>
        </is>
      </c>
    </row>
    <row r="17" ht="30.75" customHeight="1">
      <c r="A17" s="4" t="n">
        <v>14</v>
      </c>
      <c r="B17" s="4" t="inlineStr">
        <is>
          <t>DEF-ГЄ-14: BL-60 ↔ F-110 ↔ BL-80</t>
        </is>
      </c>
      <c r="C17" s="4" t="inlineStr">
        <is>
          <t>Гетьман Є.</t>
        </is>
      </c>
      <c r="D17" s="4" t="inlineStr">
        <is>
          <t>Прийнято; обліковується разом із F-110, тому що виправлення змінює саме F-110. BL-80 - окремо (№18).</t>
        </is>
      </c>
      <c r="E17" s="4" t="inlineStr">
        <is>
          <t>Прийнято → №6</t>
        </is>
      </c>
      <c r="F17" s="4" t="inlineStr">
        <is>
          <t>ПІДТВЕРДЖЕНО → №6.</t>
        </is>
      </c>
    </row>
    <row r="18" ht="57.75" customHeight="1">
      <c r="A18" s="4" t="n">
        <v>15</v>
      </c>
      <c r="B18" s="4" t="inlineStr">
        <is>
          <t>Класифікація: F-40, S-10, GUI-90, P-10</t>
        </is>
      </c>
      <c r="C18" s="4" t="inlineStr">
        <is>
          <t>Шкарупа М.</t>
        </is>
      </c>
      <c r="D18" s="4" t="inlineStr">
        <is>
          <t>Кожна вимога порушує кілька критеріїв (4.1). Головний - той, порушення якого усуває виправлення: F-40 - тестопридатність (додаємо числа); S-10, GUI-90, P-10 - здійсненність (прибираємо недосяжне). У плані тестування (розд. 6) S-10 названо нетестопридатною - узгодити.</t>
        </is>
      </c>
      <c r="E18" s="4" t="inlineStr">
        <is>
          <t>Затвердити класифікацію</t>
        </is>
      </c>
      <c r="F18" s="4" t="inlineStr">
        <is>
          <t>ЗАТВЕРДЖЕНО: головний критерій - той, порушення якого усуває виправлення (п. 4.1). Для ІТ: у плані (розд. 6, ризик P-10) записати «Здійсненність (головний) / тестопридатність (побічний)», як уже записано для S-10.</t>
        </is>
      </c>
    </row>
    <row r="19" ht="44.25" customHeight="1">
      <c r="A19" s="4" t="n">
        <v>16</v>
      </c>
      <c r="B19" s="4" t="inlineStr">
        <is>
          <t>Питання замовнику Q-9: BL - скасування й звільнення номера</t>
        </is>
      </c>
      <c r="C19" s="4" t="inlineStr">
        <is>
          <t>Шкарупа М.</t>
        </is>
      </c>
      <c r="D19" s="4" t="inlineStr">
        <is>
          <t>Класи модуля не мають методу скасування бронювання/звільнення номера, хоча F-110 і процес 3 легенди їх передбачають. Прогалина повноти, але вона залежить від рішення замовника про обсяг модуля.</t>
        </is>
      </c>
      <c r="E19" s="4" t="inlineStr">
        <is>
          <t>Внести до питань на Demo</t>
        </is>
      </c>
      <c r="F19" s="4" t="inlineStr">
        <is>
          <t>ПОГОДЖЕНО: Q-9 внесено до «Питань до замовника (для Demo)» у SRS 1.1; на Demo ставить КТ.</t>
        </is>
      </c>
    </row>
    <row r="20" ht="57.75" customHeight="1">
      <c r="A20" s="4" t="n">
        <v>17</v>
      </c>
      <c r="B20" s="4" t="inlineStr">
        <is>
          <t>DEF-ДЧ-18: F-20/F-50 - поведінка сторінки /reservation/{id} при відсутніх чи неправильних checkin/checkout</t>
        </is>
      </c>
      <c r="C20" s="4" t="inlineStr">
        <is>
          <t>Чаплюк Д.</t>
        </is>
      </c>
      <c r="D20" s="4" t="inlineStr">
        <is>
          <t>Повнота, п. 4, 5. Заперечення: параметри формує віджет F-30 / кнопка F-20, а не користувач; недопустимі значення з інтерфейсу не надходять. Реакція на ручне редагування URL - за фактичною поведінкою demo.</t>
        </is>
      </c>
      <c r="E20" s="4" t="inlineStr">
        <is>
          <t>Відхилити як дефект; кейс (за потреби) - за спостереженням на demo</t>
        </is>
      </c>
      <c r="F20" s="6" t="inlineStr">
        <is>
          <t>ВІДХИЛЕНО як дефект. Параметри формує віджет F-30 / кнопка F-20 - недопустимі значення з інтерфейсу не надходять; реакція на ручне редагування URL - за фактичною поведінкою demo. Кейс (за потреби) - за спостереженням на demo.</t>
        </is>
      </c>
    </row>
    <row r="21" ht="57.75" customHeight="1">
      <c r="A21" s="4" t="n">
        <v>18</v>
      </c>
      <c r="B21" s="4" t="inlineStr">
        <is>
          <t>DEF-ДЧ-19: F-110 - в адмінпанелі немає функції скасування бронювання</t>
        </is>
      </c>
      <c r="C21" s="4" t="inlineStr">
        <is>
          <t>Чаплюк Д.</t>
        </is>
      </c>
      <c r="D21" s="4" t="inlineStr">
        <is>
          <t>Повнота, п. 2: F-110 вимагає від адміністратора скасувати бронювання, але F-80…F-130 такої дії не мають. Доказ є, але виправлення залежить від обсягу, який визначає замовник (пов'язано з Q-9: у модулі теж немає скасування).</t>
        </is>
      </c>
      <c r="E21" s="4" t="inlineStr">
        <is>
          <t>Прийняти як дефект повноти; виправлення - після відповіді на Q-9, у SRS не вносити</t>
        </is>
      </c>
      <c r="F21" s="6" t="inlineStr">
        <is>
          <t>ПІДТВЕРДЖЕНО як дефект повноти. F-110 вимагає скасування бронювання адміністратором, але F-80…F-130 такої дії не мають. Виправлення - після відповіді на Q-9; у SRS не вносити.</t>
        </is>
      </c>
    </row>
    <row r="22" ht="44.25" customHeight="1">
      <c r="A22" s="4" t="n">
        <v>19</v>
      </c>
      <c r="B22" s="4" t="inlineStr">
        <is>
          <t>DEF-ДЧ-20: F-90 - валідація форми «Create» не описана</t>
        </is>
      </c>
      <c r="C22" s="4" t="inlineStr">
        <is>
          <t>Чаплюк Д.</t>
        </is>
      </c>
      <c r="D22" s="4" t="inlineStr">
        <is>
          <t>Повнота, п. 4, 5 (аналог №3 для F-60): не задано обов'язкові поля, допустиму ціну, реакцію на порожнє поле і дублікат. Межі потрібно звірити з demo.</t>
        </is>
      </c>
      <c r="E22" s="4" t="inlineStr">
        <is>
          <t>Прийняти (п. 4, 5); числа - із (очікує підтвердження замовника) після звірки</t>
        </is>
      </c>
      <c r="F22" s="6" t="inlineStr">
        <is>
          <t>ПІДТВЕРДЖЕНО (п. 4, 5). Обов'язкові поля, допустиму ціну та реакцію на порожнє поле і дублікат не задано. Числа - із (очікує підтвердження замовника) після звірки з demo.</t>
        </is>
      </c>
    </row>
    <row r="23" ht="44.25" customHeight="1">
      <c r="A23" s="4" t="n">
        <v>20</v>
      </c>
      <c r="B23" s="4" t="inlineStr">
        <is>
          <t>DEF-ДЧ-24: F-20 ↔ F-90 - перелік типів і зручностей</t>
        </is>
      </c>
      <c r="C23" s="4" t="inlineStr">
        <is>
          <t>Чаплюк Д.</t>
        </is>
      </c>
      <c r="D23" s="4" t="inlineStr">
        <is>
          <t>Несуперечливість, п. 2. Заперечення: F-20 описує типи наявних номерів demo (2.3), F-90 - допустимі при створенні; різних результатів для одного випадку немає.</t>
        </is>
      </c>
      <c r="E23" s="4" t="inlineStr">
        <is>
          <t>Відхилити</t>
        </is>
      </c>
      <c r="F23" s="6" t="inlineStr">
        <is>
          <t>ВІДХИЛЕНО. F-20 описує типи наявних номерів demo (2.3), F-90 - допустимі при створенні; різних результатів для одного випадку немає - несуперечливість (п. 2) не порушена.</t>
        </is>
      </c>
    </row>
    <row r="24" ht="44.25" customHeight="1">
      <c r="A24" s="4" t="n">
        <v>21</v>
      </c>
      <c r="B24" s="4" t="inlineStr">
        <is>
          <t>DEF-ДЧ-30: F-70 - обмеження лише для Subject, Message, Phone; тексти помилок не задано</t>
        </is>
      </c>
      <c r="C24" s="4" t="inlineStr">
        <is>
          <t>Чаплюк Д.</t>
        </is>
      </c>
      <c r="D24" s="4" t="inlineStr">
        <is>
          <t>Повнота, п. 4: для Name і Email обмежень немає, тест-кейс на їх порушення не має очікуваного результату.</t>
        </is>
      </c>
      <c r="E24" s="4" t="inlineStr">
        <is>
          <t>Прийняти (п. 4); межі Name/Email - із (очікує підтвердження замовника) після звірки з demo</t>
        </is>
      </c>
      <c r="F24" s="6" t="inlineStr">
        <is>
          <t>ПІДТВЕРДЖЕНО (п. 4). Для Name і Email обмежень не задано - тест-кейс на їх порушення не має очікуваного результату. Межі Name/Email - із (очікує підтвердження замовника) після звірки з demo.</t>
        </is>
      </c>
    </row>
    <row r="25" ht="44.25" customHeight="1">
      <c r="A25" s="4" t="n">
        <v>22</v>
      </c>
      <c r="B25" s="4" t="inlineStr">
        <is>
          <t>DEF-БА-05: розд. 1.2 - брендинг адмінпанелі не згадано і не виключено з обсягу</t>
        </is>
      </c>
      <c r="C25" s="4" t="inlineStr">
        <is>
          <t>Бєлянцева А.</t>
        </is>
      </c>
      <c r="D25" s="4" t="inlineStr">
        <is>
          <t>Повнота, п. 2. Заперечення: у вимогах продукту брендинг не названо, 1.2 перелічує обсяг вичерпно; питання походить із легенди й demo (каталог, 6.5 забороняє змінювати брендинг).</t>
        </is>
      </c>
      <c r="E25" s="4" t="inlineStr">
        <is>
          <t>Не вносити до реєстру; зняти питання в замовника разом з Q-14</t>
        </is>
      </c>
      <c r="F25" s="6" t="inlineStr">
        <is>
          <t>ПОГОДЖЕНО: не вносити до реєстру. У вимогах продукту брендинг не названо; 1.2 перелічує обсяг вичерпно. Питання до замовника зняти разом з Q-14 на Demo.</t>
        </is>
      </c>
    </row>
    <row r="26" ht="44.25" customHeight="1">
      <c r="A26" s="4" t="n">
        <v>23</v>
      </c>
      <c r="B26" s="4" t="inlineStr">
        <is>
          <t>DEF-ДЧ-01…05, 08…14 (розд. 1-2): чернетка Чаплюка від 11.10</t>
        </is>
      </c>
      <c r="C26" s="4" t="inlineStr">
        <is>
          <t>Чаплюк Д.</t>
        </is>
      </c>
      <c r="D26" s="4" t="inlineStr">
        <is>
          <t>Знайдене одним рецензентом (Бєлянцева здала пізніше). ТА файл розд. 1-2 не отримав у цьому пакеті, тому не звірено; рядки не відхилено.</t>
        </is>
      </c>
      <c r="E26" s="4" t="inlineStr">
        <is>
          <t>Не звірено - передати ТА файл, звести до обговорення АО</t>
        </is>
      </c>
      <c r="F26" s="6" t="inlineStr">
        <is>
          <t>ПОГОДЖЕНО (оновлено 24.10.2026): чернетку Чаплюка Д. (розд. 1-2, DEF-ДЧ-01...14) отримано. DEF-ДЧ-01...05, 08...12 включено до реєстру як нові дефекти №30-39; DEF-ДЧ-13, 14 - №40, 41; DEF-ДЧ-06 =&gt; №24, DEF-ДЧ-07 =&gt; №28 (зведено раніше).</t>
        </is>
      </c>
    </row>
    <row r="27" ht="44.25" customHeight="1">
      <c r="A27" s="4" t="n">
        <v>24</v>
      </c>
      <c r="B27" s="4" t="inlineStr">
        <is>
          <t>Розд. 5 (BL) і розд. 6: чернетка Вігури</t>
        </is>
      </c>
      <c r="C27" s="4" t="inlineStr">
        <is>
          <t>Вігура С.</t>
        </is>
      </c>
      <c r="D27" s="4" t="inlineStr">
        <is>
          <t>Чернетки немає (вкладка порожня). Другий незалежний рецензент розд. 5 відсутній; для розд. 6 незалежна лише частина - чернетка Бєлянцевої здана після зведення.</t>
        </is>
      </c>
      <c r="E27" s="4" t="inlineStr">
        <is>
          <t>Зафіксувати в Звіті як «перевірено одним рецензентом»</t>
        </is>
      </c>
      <c r="F27" s="6" t="inlineStr">
        <is>
          <t>ПОГОДЖЕНО: чернетки Вігури С. по розд. 5 і 6 не здано. Розд. 5 перевірено лише Гетьман Є., розд. 6 - Бєлянцевою А. (після зведення). Зафіксовано в Звіті як «перевірено одним рецензентом».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selection activeCell="A1" sqref="A1"/>
    </sheetView>
  </sheetViews>
  <sheetFormatPr baseColWidth="8" defaultColWidth="8.7109375" defaultRowHeight="15"/>
  <cols>
    <col width="24" customWidth="1" min="1" max="1"/>
    <col width="18" customWidth="1" min="2" max="2"/>
    <col width="14" customWidth="1" min="3" max="4"/>
  </cols>
  <sheetData>
    <row r="1" ht="15.75" customHeight="1">
      <c r="A1" s="1" t="inlineStr">
        <is>
          <t>Зведення за критеріями та перевірка нормативів (5 осіб)</t>
        </is>
      </c>
    </row>
    <row r="3" ht="25.5" customHeight="1">
      <c r="A3" s="3" t="inlineStr">
        <is>
          <t>Критерій</t>
        </is>
      </c>
      <c r="B3" s="3" t="inlineStr">
        <is>
          <t>Дефектів у реєстрі</t>
        </is>
      </c>
      <c r="C3" s="3" t="inlineStr">
        <is>
          <t>Норматив (≥)</t>
        </is>
      </c>
      <c r="D3" s="3" t="inlineStr">
        <is>
          <t>Виконано?</t>
        </is>
      </c>
    </row>
    <row r="4" ht="30.75" customHeight="1">
      <c r="A4" s="4" t="inlineStr">
        <is>
          <t>Однозначність</t>
        </is>
      </c>
      <c r="B4" s="4">
        <f>COUNTIF(Реєстр!C:C,A4)</f>
        <v/>
      </c>
      <c r="C4" s="4" t="n">
        <v>2</v>
      </c>
      <c r="D4" s="4">
        <f>IF(B4&gt;=C4,"так","ні")</f>
        <v/>
      </c>
    </row>
    <row r="5" ht="30.75" customHeight="1">
      <c r="A5" s="4" t="inlineStr">
        <is>
          <t>Повнота</t>
        </is>
      </c>
      <c r="B5" s="4">
        <f>COUNTIF(Реєстр!C:C,A5)</f>
        <v/>
      </c>
      <c r="C5" s="4" t="n">
        <v>2</v>
      </c>
      <c r="D5" s="4">
        <f>IF(B5&gt;=C5,"так","ні")</f>
        <v/>
      </c>
    </row>
    <row r="6" ht="30.75" customHeight="1">
      <c r="A6" s="4" t="inlineStr">
        <is>
          <t>Несуперечливість</t>
        </is>
      </c>
      <c r="B6" s="4">
        <f>COUNTIF(Реєстр!C:C,A6)</f>
        <v/>
      </c>
      <c r="C6" s="4" t="n">
        <v>2</v>
      </c>
      <c r="D6" s="4">
        <f>IF(B6&gt;=C6,"так","ні")</f>
        <v/>
      </c>
    </row>
    <row r="7" ht="30.75" customHeight="1">
      <c r="A7" s="4" t="inlineStr">
        <is>
          <t>Простежуваність</t>
        </is>
      </c>
      <c r="B7" s="4">
        <f>COUNTIF(Реєстр!C:C,A7)</f>
        <v/>
      </c>
      <c r="C7" s="4" t="n">
        <v>2</v>
      </c>
      <c r="D7" s="4">
        <f>IF(B7&gt;=C7,"так","ні")</f>
        <v/>
      </c>
    </row>
    <row r="8" ht="30.75" customHeight="1">
      <c r="A8" s="4" t="inlineStr">
        <is>
          <t>Здійсненність</t>
        </is>
      </c>
      <c r="B8" s="4">
        <f>COUNTIF(Реєстр!C:C,A8)</f>
        <v/>
      </c>
      <c r="C8" s="4" t="n">
        <v>2</v>
      </c>
      <c r="D8" s="4">
        <f>IF(B8&gt;=C8,"так","ні")</f>
        <v/>
      </c>
    </row>
    <row r="9" ht="30.75" customHeight="1">
      <c r="A9" s="4" t="inlineStr">
        <is>
          <t>Тестопридатність</t>
        </is>
      </c>
      <c r="B9" s="4">
        <f>COUNTIF(Реєстр!C:C,A9)</f>
        <v/>
      </c>
      <c r="C9" s="4" t="n">
        <v>2</v>
      </c>
      <c r="D9" s="4">
        <f>IF(B9&gt;=C9,"так","ні")</f>
        <v/>
      </c>
    </row>
    <row r="10">
      <c r="A10" s="5" t="inlineStr">
        <is>
          <t>РАЗОМ</t>
        </is>
      </c>
      <c r="B10" s="5">
        <f>SUM(B4:B9)</f>
        <v/>
      </c>
      <c r="C10" s="5" t="n">
        <v>20</v>
      </c>
      <c r="D10" s="5">
        <f>IF(B10&gt;=C10,"так","ні")</f>
        <v/>
      </c>
    </row>
    <row r="12">
      <c r="A12" s="2" t="inlineStr">
        <is>
          <t>Норматив 20 - для команди з 5 осіб (методичка, розд. 6); ≥2 на кожний критерій - з DoD (розд. 7).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60" customWidth="1" min="2" max="2"/>
    <col width="18" customWidth="1" min="3" max="3"/>
    <col width="70" customWidth="1" min="4" max="4"/>
  </cols>
  <sheetData>
    <row r="1" ht="125.25" customHeight="1">
      <c r="A1" s="7" t="inlineStr">
        <is>
          <t>Рецензія Скрам-майстра - реєстр дефектів (завдання 7.2)</t>
        </is>
      </c>
      <c r="B1" s="7" t="n"/>
      <c r="C1" s="7" t="n"/>
      <c r="D1" s="7" t="n"/>
    </row>
    <row r="3" ht="30.75" customHeight="1">
      <c r="A3" s="4" t="inlineStr">
        <is>
          <t>Рецензент:</t>
        </is>
      </c>
      <c r="B3" s="4" t="inlineStr">
        <is>
          <t>Вігура Станіслав (СМ)</t>
        </is>
      </c>
      <c r="C3" s="4" t="n"/>
      <c r="D3" s="4" t="n"/>
    </row>
    <row r="4" ht="17.25" customHeight="1">
      <c r="A4" s="4" t="inlineStr">
        <is>
          <t>Дата:</t>
        </is>
      </c>
      <c r="B4" s="4" t="inlineStr">
        <is>
          <t>13.10.2026</t>
        </is>
      </c>
      <c r="C4" s="4" t="n"/>
      <c r="D4" s="4" t="n"/>
    </row>
    <row r="5" ht="30.75" customHeight="1">
      <c r="A5" s="4" t="inlineStr">
        <is>
          <t>Статус:</t>
        </is>
      </c>
      <c r="B5" s="4" t="inlineStr">
        <is>
          <t>НА ДООПРАЦЮВАННІ</t>
        </is>
      </c>
      <c r="C5" s="4" t="n"/>
      <c r="D5" s="4" t="n"/>
    </row>
    <row r="6" ht="57.75" customHeight="1">
      <c r="A6" s="4" t="inlineStr">
        <is>
          <t>Детальні коментарі:</t>
        </is>
      </c>
      <c r="B6" s="4" t="inlineStr">
        <is>
          <t>review-notes-7.2-7.3.md (докс команди)</t>
        </is>
      </c>
      <c r="C6" s="4" t="n"/>
      <c r="D6" s="4" t="n"/>
    </row>
    <row r="8" ht="17.25" customHeight="1">
      <c r="A8" s="4" t="inlineStr">
        <is>
          <t>#</t>
        </is>
      </c>
      <c r="B8" s="4" t="inlineStr">
        <is>
          <t>Перевірка (чек-лист рецензента)</t>
        </is>
      </c>
      <c r="C8" s="4" t="inlineStr">
        <is>
          <t>Результат</t>
        </is>
      </c>
      <c r="D8" s="4" t="inlineStr">
        <is>
          <t>Коментар</t>
        </is>
      </c>
    </row>
    <row r="9" ht="30.75" customHeight="1">
      <c r="A9" s="4" t="n">
        <v>1</v>
      </c>
      <c r="B9" s="4" t="inlineStr">
        <is>
          <t>Кожен рядок реєстру має ID вимоги, критерій із пунктом чек-листа, цитату, готове виправлення, автора</t>
        </is>
      </c>
      <c r="C9" s="4" t="inlineStr">
        <is>
          <t>ТАК (формат)</t>
        </is>
      </c>
      <c r="D9" s="4" t="inlineStr">
        <is>
          <t>Усі 25 рядків відповідають формату</t>
        </is>
      </c>
    </row>
    <row r="10" ht="30.75" customHeight="1">
      <c r="A10" s="4" t="n">
        <v>2</v>
      </c>
      <c r="B10" s="4" t="inlineStr">
        <is>
          <t>Норматив: ≥20 дефектів, ≥2 на кожен із 6 критеріїв</t>
        </is>
      </c>
      <c r="C10" s="4" t="inlineStr">
        <is>
          <t>ТАК</t>
        </is>
      </c>
      <c r="D10" s="4" t="inlineStr">
        <is>
          <t>25 дефектів; мінімум по критерію - 3 (простежуваність). Аркуш «Зведення» звірено вручну</t>
        </is>
      </c>
    </row>
    <row r="11" ht="30.75" customHeight="1">
      <c r="A11" s="4" t="n">
        <v>3</v>
      </c>
      <c r="B11" s="4" t="inlineStr">
        <is>
          <t>«Хто знайшов» відображає чесний незалежний внесок (п. 4.9.2)</t>
        </is>
      </c>
      <c r="C11" s="4" t="inlineStr">
        <is>
          <t>ТАК</t>
        </is>
      </c>
      <c r="D11" s="4" t="inlineStr">
        <is>
          <t>Виправлено в редакції реєстру 23.10.2026: Чаплюк Д. доданий до «Хто знайшов» у рядках 1-8</t>
        </is>
      </c>
    </row>
    <row r="12" ht="30.75" customHeight="1">
      <c r="A12" s="4" t="n">
        <v>4</v>
      </c>
      <c r="B12" s="4" t="inlineStr">
        <is>
          <t>Усі розподілені розділи представлено в реєстрі</t>
        </is>
      </c>
      <c r="C12" s="4" t="inlineStr">
        <is>
          <t>НІ - розд. 1-2</t>
        </is>
      </c>
      <c r="D12" s="4" t="inlineStr">
        <is>
          <t>Чернетка-Чаплюк.md (14 дефектів, розд. 1-2) не внесена до реєстру й не передана на «Спірні»; вкладка «Чернетка-Чаплюк» порожня</t>
        </is>
      </c>
    </row>
    <row r="13" ht="57.75" customHeight="1">
      <c r="A13" s="4" t="n">
        <v>5</v>
      </c>
      <c r="B13" s="4" t="inlineStr">
        <is>
          <t>Незалежна перевірка підтверджена двома рецензентами на розділ (п. 4.9.1)</t>
        </is>
      </c>
      <c r="C13" s="4" t="inlineStr">
        <is>
          <t>ЧАСТКОВО</t>
        </is>
      </c>
      <c r="D13" s="4" t="inlineStr">
        <is>
          <t>Вкладки «Чернетка-Вігура» і «Чернетка-Бєлянцева» порожні - для розд. 5, 6 і 1-2 другий рецензент ще не подав чернетку. Не виправлено заднім числом, щоб не порушити чесність «хто знайшов» (деталі - review-notes-7.2-7.3.md)</t>
        </is>
      </c>
    </row>
    <row r="14" ht="30.75" customHeight="1">
      <c r="A14" s="4" t="n">
        <v>6</v>
      </c>
      <c r="B14" s="4" t="inlineStr">
        <is>
          <t>Статуси рядків узгоджені зі «Спірні»</t>
        </is>
      </c>
      <c r="C14" s="4" t="inlineStr">
        <is>
          <t>ОЧІКУЄ</t>
        </is>
      </c>
      <c r="D14" s="4" t="inlineStr">
        <is>
          <t>Колонка «Рішення АО» на «Спірних» ще порожня (задача Бєлянцевої); після заповнення оновити «Статус» у «Реєстрі»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2026-10-23T21:39:08Z</dcterms:created>
  <dcterms:modified xmlns:dcterms="http://purl.org/dc/terms/" xmlns:xsi="http://www.w3.org/2001/XMLSchema-instance" xsi:type="dcterms:W3CDTF">2026-10-24T12:25:27Z</dcterms:modified>
  <cp:lastModifiedBy>Mr. Webs</cp:lastModifiedBy>
  <cp:revision>0</cp:revision>
</cp:coreProperties>
</file>